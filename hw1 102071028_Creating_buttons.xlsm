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9200" windowHeight="6990"/>
  </bookViews>
  <sheets>
    <sheet name="Black Scholes Put Call Function" sheetId="1" r:id="rId1"/>
    <sheet name="Macro錄製" sheetId="2" r:id="rId2"/>
    <sheet name="Macro寫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A1" i="3" l="1"/>
</calcChain>
</file>

<file path=xl/sharedStrings.xml><?xml version="1.0" encoding="utf-8"?>
<sst xmlns="http://schemas.openxmlformats.org/spreadsheetml/2006/main" count="9" uniqueCount="9">
  <si>
    <t>r</t>
    <phoneticPr fontId="1" type="noConversion"/>
  </si>
  <si>
    <t>S</t>
    <phoneticPr fontId="1" type="noConversion"/>
  </si>
  <si>
    <t>X</t>
    <phoneticPr fontId="1" type="noConversion"/>
  </si>
  <si>
    <t>sigma</t>
    <phoneticPr fontId="1" type="noConversion"/>
  </si>
  <si>
    <t>q</t>
    <phoneticPr fontId="1" type="noConversion"/>
  </si>
  <si>
    <t>t</t>
    <phoneticPr fontId="1" type="noConversion"/>
  </si>
  <si>
    <t>call</t>
    <phoneticPr fontId="1" type="noConversion"/>
  </si>
  <si>
    <t>put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</si>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</sst>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Macro錄製!$A$1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Macro錄製!$A$2:$A$6</c:f>
              <c:numCache>
                <c:formatCode>General</c:formatCode>
                <c:ptCount val="5"/>
                <c:pt idx="0">
                  <c:v>50</c:v>
                </c:pt>
                <c:pt idx="1">
                  <c:v>49</c:v>
                </c:pt>
                <c:pt idx="2">
                  <c:v>51</c:v>
                </c:pt>
                <c:pt idx="3">
                  <c:v>53</c:v>
                </c:pt>
                <c:pt idx="4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4-445F-8466-4E33ED834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818816"/>
        <c:axId val="386820480"/>
      </c:lineChart>
      <c:catAx>
        <c:axId val="38681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6820480"/>
        <c:crosses val="autoZero"/>
        <c:auto val="1"/>
        <c:lblAlgn val="ctr"/>
        <c:lblOffset val="100"/>
        <c:noMultiLvlLbl val="0"/>
      </c:catAx>
      <c:valAx>
        <c:axId val="38682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681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53975</xdr:colOff>
      <xdr:row>3</xdr:row>
      <xdr:rowOff>101600</xdr:rowOff>
    </xdr:from>
    <xdr:to>
      <xdr:col>13</xdr:col>
      <xdr:colOff>358775</xdr:colOff>
      <xdr:row>16</xdr:row>
      <xdr:rowOff>38100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1</xdr:row>
          <xdr:rowOff>196850</xdr:rowOff>
        </xdr:from>
        <xdr:to>
          <xdr:col>5</xdr:col>
          <xdr:colOff>374650</xdr:colOff>
          <xdr:row>4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第一種框框(直接連接)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463550</xdr:colOff>
          <xdr:row>6</xdr:row>
          <xdr:rowOff>209550</xdr:rowOff>
        </xdr:from>
        <xdr:to>
          <xdr:col>5</xdr:col>
          <xdr:colOff>374650</xdr:colOff>
          <xdr:row>9</xdr:row>
          <xdr:rowOff>50800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9"/>
  <sheetViews>
    <sheetView tabSelected="1" workbookViewId="0">
      <selection activeCell="B9" sqref="B9"/>
    </sheetView>
  </sheetViews>
  <sheetFormatPr defaultRowHeight="17" x14ac:dyDescent="0.4"/>
  <sheetData>
    <row r="1" spans="1:2" x14ac:dyDescent="0.4">
      <c r="A1" t="s">
        <v>1</v>
      </c>
      <c r="B1">
        <v>40</v>
      </c>
    </row>
    <row r="2" spans="1:2" x14ac:dyDescent="0.4">
      <c r="A2" t="s">
        <v>2</v>
      </c>
      <c r="B2">
        <v>50</v>
      </c>
    </row>
    <row r="3" spans="1:2" x14ac:dyDescent="0.4">
      <c r="A3" t="s">
        <v>3</v>
      </c>
      <c r="B3">
        <v>0.2</v>
      </c>
    </row>
    <row r="4" spans="1:2" x14ac:dyDescent="0.4">
      <c r="A4" t="s">
        <v>0</v>
      </c>
      <c r="B4">
        <v>0.02</v>
      </c>
    </row>
    <row r="5" spans="1:2" x14ac:dyDescent="0.4">
      <c r="A5" t="s">
        <v>4</v>
      </c>
      <c r="B5">
        <v>0.01</v>
      </c>
    </row>
    <row r="6" spans="1:2" x14ac:dyDescent="0.4">
      <c r="A6" t="s">
        <v>5</v>
      </c>
      <c r="B6">
        <v>0.5</v>
      </c>
    </row>
    <row r="8" spans="1:2" x14ac:dyDescent="0.4">
      <c r="A8" t="s">
        <v>6</v>
      </c>
      <c r="B8">
        <f>B1*EXP(-B5*B6)*NORMSDIST((LN(B1/B2)+B6*(B4-B5+(B3^2)/2))/(B3*SQRT(B6)))-B2*EXP(-B4*B6)*NORMSDIST((LN(B1/B2)+B6*(B4-B5+(B3^2)/2))/(B3*SQRT(B6))-(B3*SQRT(B6)))</f>
        <v>0.16655614098637406</v>
      </c>
    </row>
    <row r="9" spans="1:2" x14ac:dyDescent="0.4">
      <c r="A9" t="s">
        <v>7</v>
      </c>
      <c r="B9">
        <f>-B1*EXP(-B5*B6)*NORMSDIST(-(LN(B1/B2)+B6*(B4-B5+(B3^2)/2))/(B3*SQRT(B6)))+B2*EXP(-B4*B6)*NORMSDIST(-(LN(B1/B2)+B6*(B4-B5+(B3^2)/2))/(B3*SQRT(B6))+(B3*SQRT(B6)))</f>
        <v>9.8685486607374813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6"/>
  <sheetViews>
    <sheetView workbookViewId="0">
      <selection activeCell="D5" sqref="D5"/>
    </sheetView>
  </sheetViews>
  <sheetFormatPr defaultRowHeight="17" x14ac:dyDescent="0.4"/>
  <sheetData>
    <row r="1" spans="1:1" x14ac:dyDescent="0.4">
      <c r="A1" s="1" t="s">
        <v>8</v>
      </c>
    </row>
    <row r="2" spans="1:1" x14ac:dyDescent="0.4">
      <c r="A2">
        <v>50</v>
      </c>
    </row>
    <row r="3" spans="1:1" x14ac:dyDescent="0.4">
      <c r="A3">
        <v>49</v>
      </c>
    </row>
    <row r="4" spans="1:1" x14ac:dyDescent="0.4">
      <c r="A4">
        <v>51</v>
      </c>
    </row>
    <row r="5" spans="1:1" x14ac:dyDescent="0.4">
      <c r="A5">
        <v>53</v>
      </c>
    </row>
    <row r="6" spans="1:1" x14ac:dyDescent="0.4">
      <c r="A6">
        <v>52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"/>
  <sheetViews>
    <sheetView workbookViewId="0">
      <selection activeCell="H6" sqref="H6"/>
    </sheetView>
  </sheetViews>
  <sheetFormatPr defaultRowHeight="17" x14ac:dyDescent="0.4"/>
  <cols>
    <col min="1" max="1" width="9.1796875" bestFit="1" customWidth="1"/>
  </cols>
  <sheetData>
    <row r="1" spans="1:1" x14ac:dyDescent="0.4">
      <c r="A1">
        <f>AddTwo(3,5)</f>
        <v>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2</xdr:col>
                <xdr:colOff>463550</xdr:colOff>
                <xdr:row>6</xdr:row>
                <xdr:rowOff>209550</xdr:rowOff>
              </from>
              <to>
                <xdr:col>5</xdr:col>
                <xdr:colOff>374650</xdr:colOff>
                <xdr:row>9</xdr:row>
                <xdr:rowOff>50800</xdr:rowOff>
              </to>
            </anchor>
          </controlPr>
        </control>
      </mc:Choice>
      <mc:Fallback>
        <control shapeId="3074" r:id="rId3" name="CommandButton1"/>
      </mc:Fallback>
    </mc:AlternateContent>
    <mc:AlternateContent xmlns:mc="http://schemas.openxmlformats.org/markup-compatibility/2006">
      <mc:Choice Requires="x14">
        <control shapeId="3073" r:id="rId5" name="Button 1">
          <controlPr defaultSize="0" print="0" autoFill="0" autoPict="0" macro="[0]!DisplayBox">
            <anchor moveWithCells="1" sizeWithCells="1">
              <from>
                <xdr:col>2</xdr:col>
                <xdr:colOff>431800</xdr:colOff>
                <xdr:row>1</xdr:row>
                <xdr:rowOff>196850</xdr:rowOff>
              </from>
              <to>
                <xdr:col>5</xdr:col>
                <xdr:colOff>374650</xdr:colOff>
                <xdr:row>4</xdr:row>
                <xdr:rowOff>63500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Black Scholes Put Call Function</vt:lpstr>
      <vt:lpstr>Macro錄製</vt:lpstr>
      <vt:lpstr>Macro寫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2017-02-20T14:27:04Z</dcterms:created>
  <dcterms:modified xsi:type="dcterms:W3CDTF">2017-02-20T16:15:23Z</dcterms:modified>
</cp:coreProperties>
</file>