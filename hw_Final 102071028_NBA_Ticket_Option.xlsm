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3040" windowHeight="9132"/>
  </bookViews>
  <sheets>
    <sheet name="工作表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16" i="1" l="1"/>
  <c r="B14" i="1"/>
  <c r="E17" i="1"/>
  <c r="F13" i="1" l="1"/>
  <c r="B15" i="1" l="1"/>
  <c r="B17" i="1"/>
  <c r="A20" i="1" a="1"/>
  <c r="A65" i="1" a="1"/>
  <c r="H65" i="1" l="1"/>
  <c r="AD66" i="1"/>
  <c r="J68" i="1"/>
  <c r="AF69" i="1"/>
  <c r="I65" i="1"/>
  <c r="AE66" i="1"/>
  <c r="K68" i="1"/>
  <c r="AG69" i="1"/>
  <c r="M71" i="1"/>
  <c r="AI72" i="1"/>
  <c r="O74" i="1"/>
  <c r="AK75" i="1"/>
  <c r="Q77" i="1"/>
  <c r="AM78" i="1"/>
  <c r="S80" i="1"/>
  <c r="AH65" i="1"/>
  <c r="N67" i="1"/>
  <c r="AJ68" i="1"/>
  <c r="P70" i="1"/>
  <c r="AL71" i="1"/>
  <c r="R73" i="1"/>
  <c r="AN74" i="1"/>
  <c r="T76" i="1"/>
  <c r="AP77" i="1"/>
  <c r="V79" i="1"/>
  <c r="B81" i="1"/>
  <c r="Q66" i="1"/>
  <c r="AM67" i="1"/>
  <c r="S69" i="1"/>
  <c r="AO70" i="1"/>
  <c r="U72" i="1"/>
  <c r="A74" i="1"/>
  <c r="W75" i="1"/>
  <c r="C77" i="1"/>
  <c r="Y78" i="1"/>
  <c r="E80" i="1"/>
  <c r="T65" i="1"/>
  <c r="AP66" i="1"/>
  <c r="V68" i="1"/>
  <c r="B70" i="1"/>
  <c r="X71" i="1"/>
  <c r="D73" i="1"/>
  <c r="Z74" i="1"/>
  <c r="F76" i="1"/>
  <c r="AB77" i="1"/>
  <c r="H79" i="1"/>
  <c r="AD80" i="1"/>
  <c r="Z67" i="1"/>
  <c r="T71" i="1"/>
  <c r="V74" i="1"/>
  <c r="X77" i="1"/>
  <c r="Z80" i="1"/>
  <c r="R82" i="1"/>
  <c r="AN83" i="1"/>
  <c r="T85" i="1"/>
  <c r="AP86" i="1"/>
  <c r="V88" i="1"/>
  <c r="H68" i="1"/>
  <c r="AO71" i="1"/>
  <c r="A75" i="1"/>
  <c r="C78" i="1"/>
  <c r="E81" i="1"/>
  <c r="AA82" i="1"/>
  <c r="G84" i="1"/>
  <c r="AC85" i="1"/>
  <c r="I87" i="1"/>
  <c r="AE88" i="1"/>
  <c r="AF68" i="1"/>
  <c r="P72" i="1"/>
  <c r="R75" i="1"/>
  <c r="T78" i="1"/>
  <c r="N81" i="1"/>
  <c r="AJ82" i="1"/>
  <c r="P84" i="1"/>
  <c r="AL85" i="1"/>
  <c r="R87" i="1"/>
  <c r="AN88" i="1"/>
  <c r="AK65" i="1"/>
  <c r="AL69" i="1"/>
  <c r="H73" i="1"/>
  <c r="J76" i="1"/>
  <c r="L79" i="1"/>
  <c r="AF81" i="1"/>
  <c r="L83" i="1"/>
  <c r="AH84" i="1"/>
  <c r="P65" i="1"/>
  <c r="AL66" i="1"/>
  <c r="R68" i="1"/>
  <c r="AN69" i="1"/>
  <c r="Q65" i="1"/>
  <c r="AM66" i="1"/>
  <c r="S68" i="1"/>
  <c r="AO69" i="1"/>
  <c r="U71" i="1"/>
  <c r="A73" i="1"/>
  <c r="W74" i="1"/>
  <c r="C76" i="1"/>
  <c r="Y77" i="1"/>
  <c r="E79" i="1"/>
  <c r="AA80" i="1"/>
  <c r="AP65" i="1"/>
  <c r="V67" i="1"/>
  <c r="B69" i="1"/>
  <c r="X70" i="1"/>
  <c r="D72" i="1"/>
  <c r="Z73" i="1"/>
  <c r="F75" i="1"/>
  <c r="AB76" i="1"/>
  <c r="H78" i="1"/>
  <c r="AD79" i="1"/>
  <c r="C65" i="1"/>
  <c r="Y66" i="1"/>
  <c r="E68" i="1"/>
  <c r="AA69" i="1"/>
  <c r="G71" i="1"/>
  <c r="AC72" i="1"/>
  <c r="I74" i="1"/>
  <c r="AE75" i="1"/>
  <c r="K77" i="1"/>
  <c r="AG78" i="1"/>
  <c r="M80" i="1"/>
  <c r="AB65" i="1"/>
  <c r="H67" i="1"/>
  <c r="AD68" i="1"/>
  <c r="J70" i="1"/>
  <c r="AF71" i="1"/>
  <c r="L73" i="1"/>
  <c r="AH74" i="1"/>
  <c r="N76" i="1"/>
  <c r="AJ77" i="1"/>
  <c r="P79" i="1"/>
  <c r="AL80" i="1"/>
  <c r="G68" i="1"/>
  <c r="AJ71" i="1"/>
  <c r="AL74" i="1"/>
  <c r="AN77" i="1"/>
  <c r="AP80" i="1"/>
  <c r="Z82" i="1"/>
  <c r="F84" i="1"/>
  <c r="AB85" i="1"/>
  <c r="H87" i="1"/>
  <c r="AD88" i="1"/>
  <c r="AE68" i="1"/>
  <c r="O72" i="1"/>
  <c r="Q75" i="1"/>
  <c r="S78" i="1"/>
  <c r="M81" i="1"/>
  <c r="AI82" i="1"/>
  <c r="O84" i="1"/>
  <c r="AK85" i="1"/>
  <c r="Q87" i="1"/>
  <c r="G65" i="1"/>
  <c r="M69" i="1"/>
  <c r="AF72" i="1"/>
  <c r="AH75" i="1"/>
  <c r="AJ78" i="1"/>
  <c r="V81" i="1"/>
  <c r="B83" i="1"/>
  <c r="X65" i="1"/>
  <c r="D67" i="1"/>
  <c r="Z68" i="1"/>
  <c r="F70" i="1"/>
  <c r="Y65" i="1"/>
  <c r="E67" i="1"/>
  <c r="AA68" i="1"/>
  <c r="G70" i="1"/>
  <c r="AC71" i="1"/>
  <c r="I73" i="1"/>
  <c r="AE74" i="1"/>
  <c r="K76" i="1"/>
  <c r="AG77" i="1"/>
  <c r="M79" i="1"/>
  <c r="AI80" i="1"/>
  <c r="H66" i="1"/>
  <c r="AD67" i="1"/>
  <c r="J69" i="1"/>
  <c r="AF70" i="1"/>
  <c r="L72" i="1"/>
  <c r="AH73" i="1"/>
  <c r="N75" i="1"/>
  <c r="AJ76" i="1"/>
  <c r="P78" i="1"/>
  <c r="AL79" i="1"/>
  <c r="K65" i="1"/>
  <c r="AG66" i="1"/>
  <c r="M68" i="1"/>
  <c r="AI69" i="1"/>
  <c r="O71" i="1"/>
  <c r="AK72" i="1"/>
  <c r="Q74" i="1"/>
  <c r="AM75" i="1"/>
  <c r="S77" i="1"/>
  <c r="AO78" i="1"/>
  <c r="U80" i="1"/>
  <c r="AJ65" i="1"/>
  <c r="P67" i="1"/>
  <c r="AL68" i="1"/>
  <c r="R70" i="1"/>
  <c r="AN71" i="1"/>
  <c r="T73" i="1"/>
  <c r="AP74" i="1"/>
  <c r="V76" i="1"/>
  <c r="B78" i="1"/>
  <c r="X79" i="1"/>
  <c r="D81" i="1"/>
  <c r="Y68" i="1"/>
  <c r="J72" i="1"/>
  <c r="L75" i="1"/>
  <c r="N78" i="1"/>
  <c r="L81" i="1"/>
  <c r="AH82" i="1"/>
  <c r="N84" i="1"/>
  <c r="AJ85" i="1"/>
  <c r="P87" i="1"/>
  <c r="F65" i="1"/>
  <c r="G69" i="1"/>
  <c r="AE72" i="1"/>
  <c r="AG75" i="1"/>
  <c r="AI78" i="1"/>
  <c r="U81" i="1"/>
  <c r="A83" i="1"/>
  <c r="W84" i="1"/>
  <c r="C86" i="1"/>
  <c r="Y87" i="1"/>
  <c r="AD65" i="1"/>
  <c r="AE69" i="1"/>
  <c r="F73" i="1"/>
  <c r="H76" i="1"/>
  <c r="J79" i="1"/>
  <c r="AD81" i="1"/>
  <c r="J83" i="1"/>
  <c r="AF84" i="1"/>
  <c r="L86" i="1"/>
  <c r="AH87" i="1"/>
  <c r="N89" i="1"/>
  <c r="AJ66" i="1"/>
  <c r="AK70" i="1"/>
  <c r="AN73" i="1"/>
  <c r="AF65" i="1"/>
  <c r="L67" i="1"/>
  <c r="AH68" i="1"/>
  <c r="N70" i="1"/>
  <c r="AG65" i="1"/>
  <c r="M67" i="1"/>
  <c r="AI68" i="1"/>
  <c r="O70" i="1"/>
  <c r="AK71" i="1"/>
  <c r="Q73" i="1"/>
  <c r="AM74" i="1"/>
  <c r="S76" i="1"/>
  <c r="AO77" i="1"/>
  <c r="U79" i="1"/>
  <c r="A81" i="1"/>
  <c r="P66" i="1"/>
  <c r="AL67" i="1"/>
  <c r="R69" i="1"/>
  <c r="AN70" i="1"/>
  <c r="T72" i="1"/>
  <c r="AP73" i="1"/>
  <c r="V75" i="1"/>
  <c r="B77" i="1"/>
  <c r="X78" i="1"/>
  <c r="D80" i="1"/>
  <c r="S65" i="1"/>
  <c r="AO66" i="1"/>
  <c r="U68" i="1"/>
  <c r="A70" i="1"/>
  <c r="W71" i="1"/>
  <c r="C73" i="1"/>
  <c r="Y74" i="1"/>
  <c r="E76" i="1"/>
  <c r="AA77" i="1"/>
  <c r="G79" i="1"/>
  <c r="AC80" i="1"/>
  <c r="B66" i="1"/>
  <c r="X67" i="1"/>
  <c r="D69" i="1"/>
  <c r="Z70" i="1"/>
  <c r="F72" i="1"/>
  <c r="AB73" i="1"/>
  <c r="H75" i="1"/>
  <c r="AD76" i="1"/>
  <c r="J78" i="1"/>
  <c r="AF79" i="1"/>
  <c r="E65" i="1"/>
  <c r="F69" i="1"/>
  <c r="Z72" i="1"/>
  <c r="AB75" i="1"/>
  <c r="AD78" i="1"/>
  <c r="T81" i="1"/>
  <c r="AP82" i="1"/>
  <c r="V84" i="1"/>
  <c r="B86" i="1"/>
  <c r="X87" i="1"/>
  <c r="AC65" i="1"/>
  <c r="AD69" i="1"/>
  <c r="E73" i="1"/>
  <c r="G76" i="1"/>
  <c r="I79" i="1"/>
  <c r="AC81" i="1"/>
  <c r="I83" i="1"/>
  <c r="AE84" i="1"/>
  <c r="K86" i="1"/>
  <c r="AG87" i="1"/>
  <c r="K66" i="1"/>
  <c r="L70" i="1"/>
  <c r="V73" i="1"/>
  <c r="X76" i="1"/>
  <c r="Z79" i="1"/>
  <c r="AL81" i="1"/>
  <c r="R83" i="1"/>
  <c r="AN84" i="1"/>
  <c r="T86" i="1"/>
  <c r="AP87" i="1"/>
  <c r="V89" i="1"/>
  <c r="Q67" i="1"/>
  <c r="L71" i="1"/>
  <c r="N74" i="1"/>
  <c r="P77" i="1"/>
  <c r="R80" i="1"/>
  <c r="N82" i="1"/>
  <c r="AJ83" i="1"/>
  <c r="P85" i="1"/>
  <c r="AN65" i="1"/>
  <c r="T67" i="1"/>
  <c r="AP68" i="1"/>
  <c r="V70" i="1"/>
  <c r="AO65" i="1"/>
  <c r="U67" i="1"/>
  <c r="A69" i="1"/>
  <c r="W70" i="1"/>
  <c r="C72" i="1"/>
  <c r="Y73" i="1"/>
  <c r="E75" i="1"/>
  <c r="AA76" i="1"/>
  <c r="G78" i="1"/>
  <c r="AC79" i="1"/>
  <c r="B65" i="1"/>
  <c r="X66" i="1"/>
  <c r="D68" i="1"/>
  <c r="Z69" i="1"/>
  <c r="F71" i="1"/>
  <c r="AB72" i="1"/>
  <c r="H74" i="1"/>
  <c r="AD75" i="1"/>
  <c r="J77" i="1"/>
  <c r="AF78" i="1"/>
  <c r="L80" i="1"/>
  <c r="AA65" i="1"/>
  <c r="G67" i="1"/>
  <c r="AC68" i="1"/>
  <c r="I70" i="1"/>
  <c r="AE71" i="1"/>
  <c r="K73" i="1"/>
  <c r="AG74" i="1"/>
  <c r="M76" i="1"/>
  <c r="AI77" i="1"/>
  <c r="O79" i="1"/>
  <c r="AK80" i="1"/>
  <c r="J66" i="1"/>
  <c r="AF67" i="1"/>
  <c r="L69" i="1"/>
  <c r="AH70" i="1"/>
  <c r="N72" i="1"/>
  <c r="AJ73" i="1"/>
  <c r="P75" i="1"/>
  <c r="AL76" i="1"/>
  <c r="R78" i="1"/>
  <c r="AN79" i="1"/>
  <c r="W65" i="1"/>
  <c r="AC69" i="1"/>
  <c r="AP72" i="1"/>
  <c r="B76" i="1"/>
  <c r="D79" i="1"/>
  <c r="AB81" i="1"/>
  <c r="H83" i="1"/>
  <c r="AD84" i="1"/>
  <c r="J86" i="1"/>
  <c r="AF87" i="1"/>
  <c r="E66" i="1"/>
  <c r="K70" i="1"/>
  <c r="U73" i="1"/>
  <c r="W76" i="1"/>
  <c r="Y79" i="1"/>
  <c r="AK81" i="1"/>
  <c r="Q83" i="1"/>
  <c r="AM84" i="1"/>
  <c r="S86" i="1"/>
  <c r="AO87" i="1"/>
  <c r="AC66" i="1"/>
  <c r="AI70" i="1"/>
  <c r="AL73" i="1"/>
  <c r="AN76" i="1"/>
  <c r="AP79" i="1"/>
  <c r="D82" i="1"/>
  <c r="Z83" i="1"/>
  <c r="F85" i="1"/>
  <c r="AB86" i="1"/>
  <c r="H88" i="1"/>
  <c r="AD89" i="1"/>
  <c r="AI67" i="1"/>
  <c r="AB71" i="1"/>
  <c r="AD74" i="1"/>
  <c r="AF77" i="1"/>
  <c r="AH80" i="1"/>
  <c r="V82" i="1"/>
  <c r="B84" i="1"/>
  <c r="X85" i="1"/>
  <c r="F66" i="1"/>
  <c r="AB67" i="1"/>
  <c r="H69" i="1"/>
  <c r="AD70" i="1"/>
  <c r="G66" i="1"/>
  <c r="AC67" i="1"/>
  <c r="I69" i="1"/>
  <c r="AE70" i="1"/>
  <c r="K72" i="1"/>
  <c r="AG73" i="1"/>
  <c r="M75" i="1"/>
  <c r="AI76" i="1"/>
  <c r="O78" i="1"/>
  <c r="AK79" i="1"/>
  <c r="J65" i="1"/>
  <c r="AF66" i="1"/>
  <c r="L68" i="1"/>
  <c r="AH69" i="1"/>
  <c r="N71" i="1"/>
  <c r="AJ72" i="1"/>
  <c r="P74" i="1"/>
  <c r="AL75" i="1"/>
  <c r="R77" i="1"/>
  <c r="AN78" i="1"/>
  <c r="T80" i="1"/>
  <c r="AI65" i="1"/>
  <c r="O67" i="1"/>
  <c r="AK68" i="1"/>
  <c r="Q70" i="1"/>
  <c r="AM71" i="1"/>
  <c r="S73" i="1"/>
  <c r="AO74" i="1"/>
  <c r="U76" i="1"/>
  <c r="A78" i="1"/>
  <c r="W79" i="1"/>
  <c r="C81" i="1"/>
  <c r="R66" i="1"/>
  <c r="AN67" i="1"/>
  <c r="T69" i="1"/>
  <c r="AP70" i="1"/>
  <c r="V72" i="1"/>
  <c r="B74" i="1"/>
  <c r="X75" i="1"/>
  <c r="D77" i="1"/>
  <c r="Z78" i="1"/>
  <c r="F80" i="1"/>
  <c r="D66" i="1"/>
  <c r="E70" i="1"/>
  <c r="P73" i="1"/>
  <c r="R76" i="1"/>
  <c r="T79" i="1"/>
  <c r="AJ81" i="1"/>
  <c r="P83" i="1"/>
  <c r="AL84" i="1"/>
  <c r="R86" i="1"/>
  <c r="AN87" i="1"/>
  <c r="AB66" i="1"/>
  <c r="AC70" i="1"/>
  <c r="AK73" i="1"/>
  <c r="AM76" i="1"/>
  <c r="AO79" i="1"/>
  <c r="C82" i="1"/>
  <c r="Y83" i="1"/>
  <c r="E85" i="1"/>
  <c r="AA86" i="1"/>
  <c r="G88" i="1"/>
  <c r="J67" i="1"/>
  <c r="J71" i="1"/>
  <c r="L74" i="1"/>
  <c r="N77" i="1"/>
  <c r="P80" i="1"/>
  <c r="L82" i="1"/>
  <c r="N66" i="1"/>
  <c r="AJ67" i="1"/>
  <c r="P69" i="1"/>
  <c r="AL70" i="1"/>
  <c r="O66" i="1"/>
  <c r="AK67" i="1"/>
  <c r="Q69" i="1"/>
  <c r="AM70" i="1"/>
  <c r="S72" i="1"/>
  <c r="AO73" i="1"/>
  <c r="U75" i="1"/>
  <c r="A77" i="1"/>
  <c r="W78" i="1"/>
  <c r="C80" i="1"/>
  <c r="R65" i="1"/>
  <c r="AN66" i="1"/>
  <c r="T68" i="1"/>
  <c r="AP69" i="1"/>
  <c r="V71" i="1"/>
  <c r="B73" i="1"/>
  <c r="X74" i="1"/>
  <c r="D76" i="1"/>
  <c r="Z77" i="1"/>
  <c r="F79" i="1"/>
  <c r="AB80" i="1"/>
  <c r="A66" i="1"/>
  <c r="W67" i="1"/>
  <c r="C69" i="1"/>
  <c r="Y70" i="1"/>
  <c r="E72" i="1"/>
  <c r="AA73" i="1"/>
  <c r="G75" i="1"/>
  <c r="AC76" i="1"/>
  <c r="I78" i="1"/>
  <c r="AE79" i="1"/>
  <c r="D65" i="1"/>
  <c r="Z66" i="1"/>
  <c r="F68" i="1"/>
  <c r="AB69" i="1"/>
  <c r="H71" i="1"/>
  <c r="AD72" i="1"/>
  <c r="J74" i="1"/>
  <c r="AF75" i="1"/>
  <c r="L77" i="1"/>
  <c r="AH78" i="1"/>
  <c r="N80" i="1"/>
  <c r="AA66" i="1"/>
  <c r="AB70" i="1"/>
  <c r="AF73" i="1"/>
  <c r="AH76" i="1"/>
  <c r="AJ79" i="1"/>
  <c r="B82" i="1"/>
  <c r="X83" i="1"/>
  <c r="D85" i="1"/>
  <c r="Z86" i="1"/>
  <c r="F88" i="1"/>
  <c r="I67" i="1"/>
  <c r="I71" i="1"/>
  <c r="K74" i="1"/>
  <c r="M77" i="1"/>
  <c r="O80" i="1"/>
  <c r="K82" i="1"/>
  <c r="AG83" i="1"/>
  <c r="M85" i="1"/>
  <c r="AI86" i="1"/>
  <c r="O88" i="1"/>
  <c r="AG67" i="1"/>
  <c r="Z71" i="1"/>
  <c r="AB74" i="1"/>
  <c r="AD77" i="1"/>
  <c r="AF80" i="1"/>
  <c r="T82" i="1"/>
  <c r="AP83" i="1"/>
  <c r="V85" i="1"/>
  <c r="B87" i="1"/>
  <c r="X88" i="1"/>
  <c r="D90" i="1"/>
  <c r="AM68" i="1"/>
  <c r="V66" i="1"/>
  <c r="B68" i="1"/>
  <c r="X69" i="1"/>
  <c r="A65" i="1"/>
  <c r="W66" i="1"/>
  <c r="C68" i="1"/>
  <c r="Y69" i="1"/>
  <c r="E71" i="1"/>
  <c r="AA72" i="1"/>
  <c r="G74" i="1"/>
  <c r="AC75" i="1"/>
  <c r="I77" i="1"/>
  <c r="AE78" i="1"/>
  <c r="K80" i="1"/>
  <c r="Z65" i="1"/>
  <c r="F67" i="1"/>
  <c r="AB68" i="1"/>
  <c r="H70" i="1"/>
  <c r="AD71" i="1"/>
  <c r="J73" i="1"/>
  <c r="AF74" i="1"/>
  <c r="L76" i="1"/>
  <c r="AH77" i="1"/>
  <c r="N79" i="1"/>
  <c r="AJ80" i="1"/>
  <c r="I66" i="1"/>
  <c r="AE67" i="1"/>
  <c r="K69" i="1"/>
  <c r="AG70" i="1"/>
  <c r="M72" i="1"/>
  <c r="AI73" i="1"/>
  <c r="O75" i="1"/>
  <c r="AK76" i="1"/>
  <c r="Q78" i="1"/>
  <c r="AM79" i="1"/>
  <c r="L65" i="1"/>
  <c r="AH66" i="1"/>
  <c r="N68" i="1"/>
  <c r="AJ69" i="1"/>
  <c r="P71" i="1"/>
  <c r="AL72" i="1"/>
  <c r="R74" i="1"/>
  <c r="AN75" i="1"/>
  <c r="T77" i="1"/>
  <c r="AP78" i="1"/>
  <c r="V80" i="1"/>
  <c r="C67" i="1"/>
  <c r="D71" i="1"/>
  <c r="F74" i="1"/>
  <c r="H77" i="1"/>
  <c r="J80" i="1"/>
  <c r="J82" i="1"/>
  <c r="AF83" i="1"/>
  <c r="L85" i="1"/>
  <c r="AH86" i="1"/>
  <c r="N88" i="1"/>
  <c r="AA67" i="1"/>
  <c r="Y71" i="1"/>
  <c r="AA74" i="1"/>
  <c r="AC77" i="1"/>
  <c r="AE80" i="1"/>
  <c r="S82" i="1"/>
  <c r="AO83" i="1"/>
  <c r="U85" i="1"/>
  <c r="A87" i="1"/>
  <c r="W88" i="1"/>
  <c r="I68" i="1"/>
  <c r="AP71" i="1"/>
  <c r="B75" i="1"/>
  <c r="D78" i="1"/>
  <c r="F81" i="1"/>
  <c r="AB82" i="1"/>
  <c r="H84" i="1"/>
  <c r="AD85" i="1"/>
  <c r="J87" i="1"/>
  <c r="AF88" i="1"/>
  <c r="N65" i="1"/>
  <c r="O69" i="1"/>
  <c r="AH72" i="1"/>
  <c r="AJ75" i="1"/>
  <c r="AL78" i="1"/>
  <c r="X81" i="1"/>
  <c r="D83" i="1"/>
  <c r="Z84" i="1"/>
  <c r="F86" i="1"/>
  <c r="AH83" i="1"/>
  <c r="AL89" i="1"/>
  <c r="T75" i="1"/>
  <c r="P81" i="1"/>
  <c r="R84" i="1"/>
  <c r="AL86" i="1"/>
  <c r="R88" i="1"/>
  <c r="AN89" i="1"/>
  <c r="A72" i="1"/>
  <c r="E78" i="1"/>
  <c r="AC82" i="1"/>
  <c r="AE85" i="1"/>
  <c r="AG88" i="1"/>
  <c r="AA90" i="1"/>
  <c r="T70" i="1"/>
  <c r="AE76" i="1"/>
  <c r="AO81" i="1"/>
  <c r="A85" i="1"/>
  <c r="C88" i="1"/>
  <c r="L90" i="1"/>
  <c r="AH91" i="1"/>
  <c r="N93" i="1"/>
  <c r="AJ94" i="1"/>
  <c r="P96" i="1"/>
  <c r="U65" i="1"/>
  <c r="AN72" i="1"/>
  <c r="B79" i="1"/>
  <c r="F83" i="1"/>
  <c r="H86" i="1"/>
  <c r="D89" i="1"/>
  <c r="AK90" i="1"/>
  <c r="AI66" i="1"/>
  <c r="AM73" i="1"/>
  <c r="A80" i="1"/>
  <c r="AA83" i="1"/>
  <c r="AC86" i="1"/>
  <c r="R89" i="1"/>
  <c r="E91" i="1"/>
  <c r="AA92" i="1"/>
  <c r="G94" i="1"/>
  <c r="AC95" i="1"/>
  <c r="I97" i="1"/>
  <c r="S71" i="1"/>
  <c r="Q82" i="1"/>
  <c r="U88" i="1"/>
  <c r="AJ91" i="1"/>
  <c r="AM93" i="1"/>
  <c r="AN95" i="1"/>
  <c r="AN97" i="1"/>
  <c r="U99" i="1"/>
  <c r="A101" i="1"/>
  <c r="W102" i="1"/>
  <c r="C104" i="1"/>
  <c r="O76" i="1"/>
  <c r="AI84" i="1"/>
  <c r="H90" i="1"/>
  <c r="AC92" i="1"/>
  <c r="AD94" i="1"/>
  <c r="AE96" i="1"/>
  <c r="X98" i="1"/>
  <c r="D100" i="1"/>
  <c r="Z101" i="1"/>
  <c r="F103" i="1"/>
  <c r="AB104" i="1"/>
  <c r="H106" i="1"/>
  <c r="AH71" i="1"/>
  <c r="X82" i="1"/>
  <c r="AB88" i="1"/>
  <c r="AM91" i="1"/>
  <c r="AP93" i="1"/>
  <c r="A96" i="1"/>
  <c r="A98" i="1"/>
  <c r="W99" i="1"/>
  <c r="C101" i="1"/>
  <c r="Y102" i="1"/>
  <c r="E104" i="1"/>
  <c r="AG76" i="1"/>
  <c r="C85" i="1"/>
  <c r="N90" i="1"/>
  <c r="AG92" i="1"/>
  <c r="AH94" i="1"/>
  <c r="AJ96" i="1"/>
  <c r="AA98" i="1"/>
  <c r="G100" i="1"/>
  <c r="X84" i="1"/>
  <c r="M66" i="1"/>
  <c r="Z76" i="1"/>
  <c r="AN81" i="1"/>
  <c r="AP84" i="1"/>
  <c r="D87" i="1"/>
  <c r="Z88" i="1"/>
  <c r="M65" i="1"/>
  <c r="AG72" i="1"/>
  <c r="AK78" i="1"/>
  <c r="C83" i="1"/>
  <c r="E86" i="1"/>
  <c r="B89" i="1"/>
  <c r="AI90" i="1"/>
  <c r="Q71" i="1"/>
  <c r="U77" i="1"/>
  <c r="O82" i="1"/>
  <c r="Q85" i="1"/>
  <c r="S88" i="1"/>
  <c r="T90" i="1"/>
  <c r="AP91" i="1"/>
  <c r="V93" i="1"/>
  <c r="B95" i="1"/>
  <c r="X96" i="1"/>
  <c r="T66" i="1"/>
  <c r="AD73" i="1"/>
  <c r="AH79" i="1"/>
  <c r="V83" i="1"/>
  <c r="X86" i="1"/>
  <c r="O89" i="1"/>
  <c r="C91" i="1"/>
  <c r="AH67" i="1"/>
  <c r="AC74" i="1"/>
  <c r="AG80" i="1"/>
  <c r="A84" i="1"/>
  <c r="C87" i="1"/>
  <c r="AB89" i="1"/>
  <c r="M91" i="1"/>
  <c r="AI92" i="1"/>
  <c r="O94" i="1"/>
  <c r="AK95" i="1"/>
  <c r="Q97" i="1"/>
  <c r="AO72" i="1"/>
  <c r="G83" i="1"/>
  <c r="E89" i="1"/>
  <c r="F92" i="1"/>
  <c r="H94" i="1"/>
  <c r="I96" i="1"/>
  <c r="G98" i="1"/>
  <c r="AC99" i="1"/>
  <c r="I101" i="1"/>
  <c r="AE102" i="1"/>
  <c r="K104" i="1"/>
  <c r="AK77" i="1"/>
  <c r="Y85" i="1"/>
  <c r="X90" i="1"/>
  <c r="AM92" i="1"/>
  <c r="AO94" i="1"/>
  <c r="AP96" i="1"/>
  <c r="AF98" i="1"/>
  <c r="L100" i="1"/>
  <c r="AH101" i="1"/>
  <c r="N103" i="1"/>
  <c r="AJ104" i="1"/>
  <c r="P106" i="1"/>
  <c r="N73" i="1"/>
  <c r="N83" i="1"/>
  <c r="J89" i="1"/>
  <c r="I92" i="1"/>
  <c r="J94" i="1"/>
  <c r="L96" i="1"/>
  <c r="I98" i="1"/>
  <c r="AE99" i="1"/>
  <c r="K101" i="1"/>
  <c r="N85" i="1"/>
  <c r="P68" i="1"/>
  <c r="AP76" i="1"/>
  <c r="F82" i="1"/>
  <c r="H85" i="1"/>
  <c r="L87" i="1"/>
  <c r="AH88" i="1"/>
  <c r="L66" i="1"/>
  <c r="W73" i="1"/>
  <c r="AA79" i="1"/>
  <c r="S83" i="1"/>
  <c r="U86" i="1"/>
  <c r="L89" i="1"/>
  <c r="A91" i="1"/>
  <c r="G72" i="1"/>
  <c r="K78" i="1"/>
  <c r="AE82" i="1"/>
  <c r="AG85" i="1"/>
  <c r="AI88" i="1"/>
  <c r="AB90" i="1"/>
  <c r="H92" i="1"/>
  <c r="AD93" i="1"/>
  <c r="J95" i="1"/>
  <c r="AF96" i="1"/>
  <c r="S67" i="1"/>
  <c r="T74" i="1"/>
  <c r="X80" i="1"/>
  <c r="AL83" i="1"/>
  <c r="AN86" i="1"/>
  <c r="Z89" i="1"/>
  <c r="K91" i="1"/>
  <c r="AG68" i="1"/>
  <c r="S75" i="1"/>
  <c r="O81" i="1"/>
  <c r="Q84" i="1"/>
  <c r="S87" i="1"/>
  <c r="AM89" i="1"/>
  <c r="U91" i="1"/>
  <c r="A93" i="1"/>
  <c r="W94" i="1"/>
  <c r="C96" i="1"/>
  <c r="Y97" i="1"/>
  <c r="U74" i="1"/>
  <c r="AM83" i="1"/>
  <c r="AA89" i="1"/>
  <c r="Q92" i="1"/>
  <c r="R94" i="1"/>
  <c r="T96" i="1"/>
  <c r="O98" i="1"/>
  <c r="AK99" i="1"/>
  <c r="Q101" i="1"/>
  <c r="AM102" i="1"/>
  <c r="AL65" i="1"/>
  <c r="Q79" i="1"/>
  <c r="O86" i="1"/>
  <c r="AN90" i="1"/>
  <c r="H93" i="1"/>
  <c r="I95" i="1"/>
  <c r="K97" i="1"/>
  <c r="AN98" i="1"/>
  <c r="T100" i="1"/>
  <c r="AP101" i="1"/>
  <c r="V103" i="1"/>
  <c r="B105" i="1"/>
  <c r="X106" i="1"/>
  <c r="AJ74" i="1"/>
  <c r="D84" i="1"/>
  <c r="AE89" i="1"/>
  <c r="T92" i="1"/>
  <c r="U94" i="1"/>
  <c r="V96" i="1"/>
  <c r="Q98" i="1"/>
  <c r="AM99" i="1"/>
  <c r="S101" i="1"/>
  <c r="AO102" i="1"/>
  <c r="U66" i="1"/>
  <c r="AI79" i="1"/>
  <c r="Y86" i="1"/>
  <c r="D91" i="1"/>
  <c r="L93" i="1"/>
  <c r="N95" i="1"/>
  <c r="O97" i="1"/>
  <c r="A99" i="1"/>
  <c r="W100" i="1"/>
  <c r="C102" i="1"/>
  <c r="D86" i="1"/>
  <c r="S70" i="1"/>
  <c r="F78" i="1"/>
  <c r="AD82" i="1"/>
  <c r="AF85" i="1"/>
  <c r="T87" i="1"/>
  <c r="AP88" i="1"/>
  <c r="K67" i="1"/>
  <c r="M74" i="1"/>
  <c r="Q80" i="1"/>
  <c r="AI83" i="1"/>
  <c r="AK86" i="1"/>
  <c r="W89" i="1"/>
  <c r="O65" i="1"/>
  <c r="AM72" i="1"/>
  <c r="A79" i="1"/>
  <c r="E83" i="1"/>
  <c r="G86" i="1"/>
  <c r="C89" i="1"/>
  <c r="AJ90" i="1"/>
  <c r="P92" i="1"/>
  <c r="AL93" i="1"/>
  <c r="R95" i="1"/>
  <c r="AN96" i="1"/>
  <c r="W68" i="1"/>
  <c r="J75" i="1"/>
  <c r="J81" i="1"/>
  <c r="L84" i="1"/>
  <c r="N87" i="1"/>
  <c r="AJ89" i="1"/>
  <c r="S91" i="1"/>
  <c r="AK69" i="1"/>
  <c r="I76" i="1"/>
  <c r="AE81" i="1"/>
  <c r="AG84" i="1"/>
  <c r="AI87" i="1"/>
  <c r="G90" i="1"/>
  <c r="AC91" i="1"/>
  <c r="I93" i="1"/>
  <c r="AE94" i="1"/>
  <c r="K96" i="1"/>
  <c r="AG97" i="1"/>
  <c r="A76" i="1"/>
  <c r="AC84" i="1"/>
  <c r="F90" i="1"/>
  <c r="AB92" i="1"/>
  <c r="AC94" i="1"/>
  <c r="AD96" i="1"/>
  <c r="W98" i="1"/>
  <c r="C100" i="1"/>
  <c r="Y101" i="1"/>
  <c r="E103" i="1"/>
  <c r="AO67" i="1"/>
  <c r="AM80" i="1"/>
  <c r="E87" i="1"/>
  <c r="L91" i="1"/>
  <c r="S93" i="1"/>
  <c r="T95" i="1"/>
  <c r="U97" i="1"/>
  <c r="F99" i="1"/>
  <c r="AB100" i="1"/>
  <c r="H102" i="1"/>
  <c r="AD103" i="1"/>
  <c r="J105" i="1"/>
  <c r="AF106" i="1"/>
  <c r="P76" i="1"/>
  <c r="AJ84" i="1"/>
  <c r="I90" i="1"/>
  <c r="AD92" i="1"/>
  <c r="AF94" i="1"/>
  <c r="AG96" i="1"/>
  <c r="Y98" i="1"/>
  <c r="E100" i="1"/>
  <c r="AA101" i="1"/>
  <c r="AJ86" i="1"/>
  <c r="B72" i="1"/>
  <c r="V78" i="1"/>
  <c r="AL82" i="1"/>
  <c r="AN85" i="1"/>
  <c r="AB87" i="1"/>
  <c r="H89" i="1"/>
  <c r="O68" i="1"/>
  <c r="C75" i="1"/>
  <c r="G81" i="1"/>
  <c r="I84" i="1"/>
  <c r="K87" i="1"/>
  <c r="AH89" i="1"/>
  <c r="S66" i="1"/>
  <c r="AC73" i="1"/>
  <c r="AG79" i="1"/>
  <c r="U83" i="1"/>
  <c r="W86" i="1"/>
  <c r="M89" i="1"/>
  <c r="B91" i="1"/>
  <c r="X92" i="1"/>
  <c r="D94" i="1"/>
  <c r="Z95" i="1"/>
  <c r="F97" i="1"/>
  <c r="V69" i="1"/>
  <c r="AP75" i="1"/>
  <c r="Z81" i="1"/>
  <c r="AB84" i="1"/>
  <c r="AD87" i="1"/>
  <c r="E90" i="1"/>
  <c r="AA91" i="1"/>
  <c r="AJ70" i="1"/>
  <c r="AO76" i="1"/>
  <c r="E82" i="1"/>
  <c r="G85" i="1"/>
  <c r="I88" i="1"/>
  <c r="O90" i="1"/>
  <c r="AK91" i="1"/>
  <c r="Q93" i="1"/>
  <c r="AM94" i="1"/>
  <c r="S96" i="1"/>
  <c r="AO97" i="1"/>
  <c r="W77" i="1"/>
  <c r="S85" i="1"/>
  <c r="V90" i="1"/>
  <c r="AL92" i="1"/>
  <c r="AN94" i="1"/>
  <c r="AO96" i="1"/>
  <c r="AE98" i="1"/>
  <c r="K100" i="1"/>
  <c r="AG101" i="1"/>
  <c r="M103" i="1"/>
  <c r="AM69" i="1"/>
  <c r="AG81" i="1"/>
  <c r="AK87" i="1"/>
  <c r="X91" i="1"/>
  <c r="AC93" i="1"/>
  <c r="AE95" i="1"/>
  <c r="AF97" i="1"/>
  <c r="N99" i="1"/>
  <c r="AJ100" i="1"/>
  <c r="P102" i="1"/>
  <c r="AL103" i="1"/>
  <c r="R105" i="1"/>
  <c r="AN106" i="1"/>
  <c r="AL77" i="1"/>
  <c r="Z85" i="1"/>
  <c r="Y90" i="1"/>
  <c r="AO92" i="1"/>
  <c r="AP94" i="1"/>
  <c r="B97" i="1"/>
  <c r="AG98" i="1"/>
  <c r="M100" i="1"/>
  <c r="AI101" i="1"/>
  <c r="O103" i="1"/>
  <c r="AA70" i="1"/>
  <c r="A82" i="1"/>
  <c r="E88" i="1"/>
  <c r="AD91" i="1"/>
  <c r="AH93" i="1"/>
  <c r="AI95" i="1"/>
  <c r="AJ97" i="1"/>
  <c r="Q99" i="1"/>
  <c r="Z87" i="1"/>
  <c r="R72" i="1"/>
  <c r="AB79" i="1"/>
  <c r="T83" i="1"/>
  <c r="N86" i="1"/>
  <c r="AJ87" i="1"/>
  <c r="P89" i="1"/>
  <c r="N69" i="1"/>
  <c r="AI75" i="1"/>
  <c r="W81" i="1"/>
  <c r="Y84" i="1"/>
  <c r="AA87" i="1"/>
  <c r="B90" i="1"/>
  <c r="R67" i="1"/>
  <c r="S74" i="1"/>
  <c r="W80" i="1"/>
  <c r="AK83" i="1"/>
  <c r="AM86" i="1"/>
  <c r="Y89" i="1"/>
  <c r="J91" i="1"/>
  <c r="AF92" i="1"/>
  <c r="L94" i="1"/>
  <c r="AH95" i="1"/>
  <c r="N97" i="1"/>
  <c r="U70" i="1"/>
  <c r="AF76" i="1"/>
  <c r="AP81" i="1"/>
  <c r="B85" i="1"/>
  <c r="D88" i="1"/>
  <c r="M90" i="1"/>
  <c r="AI91" i="1"/>
  <c r="AA71" i="1"/>
  <c r="AE77" i="1"/>
  <c r="U82" i="1"/>
  <c r="W85" i="1"/>
  <c r="Y88" i="1"/>
  <c r="W90" i="1"/>
  <c r="C92" i="1"/>
  <c r="Y93" i="1"/>
  <c r="E95" i="1"/>
  <c r="AA96" i="1"/>
  <c r="V65" i="1"/>
  <c r="C79" i="1"/>
  <c r="I86" i="1"/>
  <c r="AL90" i="1"/>
  <c r="G93" i="1"/>
  <c r="H95" i="1"/>
  <c r="J97" i="1"/>
  <c r="AM98" i="1"/>
  <c r="S100" i="1"/>
  <c r="AO101" i="1"/>
  <c r="U103" i="1"/>
  <c r="AG71" i="1"/>
  <c r="W82" i="1"/>
  <c r="AA88" i="1"/>
  <c r="AL91" i="1"/>
  <c r="AN93" i="1"/>
  <c r="AO95" i="1"/>
  <c r="AP97" i="1"/>
  <c r="V99" i="1"/>
  <c r="B101" i="1"/>
  <c r="X102" i="1"/>
  <c r="D104" i="1"/>
  <c r="Z105" i="1"/>
  <c r="AM65" i="1"/>
  <c r="R79" i="1"/>
  <c r="P86" i="1"/>
  <c r="AO90" i="1"/>
  <c r="J93" i="1"/>
  <c r="K95" i="1"/>
  <c r="L97" i="1"/>
  <c r="AO98" i="1"/>
  <c r="U100" i="1"/>
  <c r="A102" i="1"/>
  <c r="W103" i="1"/>
  <c r="I72" i="1"/>
  <c r="AG82" i="1"/>
  <c r="AK88" i="1"/>
  <c r="AO91" i="1"/>
  <c r="B94" i="1"/>
  <c r="D96" i="1"/>
  <c r="C98" i="1"/>
  <c r="Y99" i="1"/>
  <c r="P88" i="1"/>
  <c r="X73" i="1"/>
  <c r="B80" i="1"/>
  <c r="AB83" i="1"/>
  <c r="V86" i="1"/>
  <c r="B88" i="1"/>
  <c r="X89" i="1"/>
  <c r="M70" i="1"/>
  <c r="Y76" i="1"/>
  <c r="AM81" i="1"/>
  <c r="AO84" i="1"/>
  <c r="A88" i="1"/>
  <c r="K90" i="1"/>
  <c r="Q68" i="1"/>
  <c r="I75" i="1"/>
  <c r="I81" i="1"/>
  <c r="K84" i="1"/>
  <c r="M87" i="1"/>
  <c r="AI89" i="1"/>
  <c r="R91" i="1"/>
  <c r="AN92" i="1"/>
  <c r="T94" i="1"/>
  <c r="AP95" i="1"/>
  <c r="V97" i="1"/>
  <c r="R71" i="1"/>
  <c r="V77" i="1"/>
  <c r="P82" i="1"/>
  <c r="R85" i="1"/>
  <c r="T88" i="1"/>
  <c r="U90" i="1"/>
  <c r="A92" i="1"/>
  <c r="Q72" i="1"/>
  <c r="U78" i="1"/>
  <c r="AK82" i="1"/>
  <c r="AM85" i="1"/>
  <c r="AL88" i="1"/>
  <c r="AE90" i="1"/>
  <c r="K92" i="1"/>
  <c r="AG93" i="1"/>
  <c r="M95" i="1"/>
  <c r="AI96" i="1"/>
  <c r="Y67" i="1"/>
  <c r="Y80" i="1"/>
  <c r="AO86" i="1"/>
  <c r="I91" i="1"/>
  <c r="R93" i="1"/>
  <c r="S95" i="1"/>
  <c r="T97" i="1"/>
  <c r="E99" i="1"/>
  <c r="AA100" i="1"/>
  <c r="G102" i="1"/>
  <c r="AC103" i="1"/>
  <c r="M73" i="1"/>
  <c r="M83" i="1"/>
  <c r="I89" i="1"/>
  <c r="G92" i="1"/>
  <c r="I94" i="1"/>
  <c r="J96" i="1"/>
  <c r="H98" i="1"/>
  <c r="AD99" i="1"/>
  <c r="J101" i="1"/>
  <c r="AF102" i="1"/>
  <c r="L104" i="1"/>
  <c r="AH105" i="1"/>
  <c r="AP67" i="1"/>
  <c r="AN80" i="1"/>
  <c r="F87" i="1"/>
  <c r="N91" i="1"/>
  <c r="T93" i="1"/>
  <c r="V95" i="1"/>
  <c r="W97" i="1"/>
  <c r="G99" i="1"/>
  <c r="AC100" i="1"/>
  <c r="I102" i="1"/>
  <c r="AE103" i="1"/>
  <c r="AE73" i="1"/>
  <c r="W83" i="1"/>
  <c r="Q89" i="1"/>
  <c r="L92" i="1"/>
  <c r="M94" i="1"/>
  <c r="N96" i="1"/>
  <c r="K98" i="1"/>
  <c r="AG99" i="1"/>
  <c r="M101" i="1"/>
  <c r="F89" i="1"/>
  <c r="D75" i="1"/>
  <c r="H81" i="1"/>
  <c r="J84" i="1"/>
  <c r="AD86" i="1"/>
  <c r="J88" i="1"/>
  <c r="AF89" i="1"/>
  <c r="K71" i="1"/>
  <c r="O77" i="1"/>
  <c r="M82" i="1"/>
  <c r="O85" i="1"/>
  <c r="Q88" i="1"/>
  <c r="S90" i="1"/>
  <c r="U69" i="1"/>
  <c r="AO75" i="1"/>
  <c r="Y81" i="1"/>
  <c r="AA84" i="1"/>
  <c r="AC87" i="1"/>
  <c r="C90" i="1"/>
  <c r="Z91" i="1"/>
  <c r="F93" i="1"/>
  <c r="AB94" i="1"/>
  <c r="H96" i="1"/>
  <c r="AD97" i="1"/>
  <c r="H72" i="1"/>
  <c r="L78" i="1"/>
  <c r="AF82" i="1"/>
  <c r="AH85" i="1"/>
  <c r="AJ88" i="1"/>
  <c r="AC90" i="1"/>
  <c r="AE65" i="1"/>
  <c r="G73" i="1"/>
  <c r="K79" i="1"/>
  <c r="K83" i="1"/>
  <c r="M86" i="1"/>
  <c r="G89" i="1"/>
  <c r="AM90" i="1"/>
  <c r="S92" i="1"/>
  <c r="AO93" i="1"/>
  <c r="U95" i="1"/>
  <c r="A97" i="1"/>
  <c r="W69" i="1"/>
  <c r="AA81" i="1"/>
  <c r="AE87" i="1"/>
  <c r="W91" i="1"/>
  <c r="AB93" i="1"/>
  <c r="AD95" i="1"/>
  <c r="AE97" i="1"/>
  <c r="M99" i="1"/>
  <c r="AI100" i="1"/>
  <c r="O102" i="1"/>
  <c r="AK103" i="1"/>
  <c r="AI74" i="1"/>
  <c r="C84" i="1"/>
  <c r="AC89" i="1"/>
  <c r="R92" i="1"/>
  <c r="S94" i="1"/>
  <c r="U96" i="1"/>
  <c r="P98" i="1"/>
  <c r="AL99" i="1"/>
  <c r="R101" i="1"/>
  <c r="AN102" i="1"/>
  <c r="T104" i="1"/>
  <c r="AP105" i="1"/>
  <c r="C70" i="1"/>
  <c r="AH81" i="1"/>
  <c r="AL87" i="1"/>
  <c r="Y91" i="1"/>
  <c r="AE93" i="1"/>
  <c r="AF95" i="1"/>
  <c r="AH97" i="1"/>
  <c r="O99" i="1"/>
  <c r="AK100" i="1"/>
  <c r="Q102" i="1"/>
  <c r="AM103" i="1"/>
  <c r="K75" i="1"/>
  <c r="M84" i="1"/>
  <c r="AK89" i="1"/>
  <c r="V92" i="1"/>
  <c r="X94" i="1"/>
  <c r="Y96" i="1"/>
  <c r="S98" i="1"/>
  <c r="AO99" i="1"/>
  <c r="U101" i="1"/>
  <c r="A103" i="1"/>
  <c r="AG102" i="1"/>
  <c r="AD90" i="1"/>
  <c r="AI98" i="1"/>
  <c r="K102" i="1"/>
  <c r="AO103" i="1"/>
  <c r="U105" i="1"/>
  <c r="AK66" i="1"/>
  <c r="G80" i="1"/>
  <c r="AE86" i="1"/>
  <c r="C71" i="1"/>
  <c r="AH90" i="1"/>
  <c r="G95" i="1"/>
  <c r="AL98" i="1"/>
  <c r="AN101" i="1"/>
  <c r="AH104" i="1"/>
  <c r="AJ106" i="1"/>
  <c r="B103" i="1"/>
  <c r="M102" i="1"/>
  <c r="U84" i="1"/>
  <c r="K93" i="1"/>
  <c r="M97" i="1"/>
  <c r="V100" i="1"/>
  <c r="X103" i="1"/>
  <c r="AJ105" i="1"/>
  <c r="X100" i="1"/>
  <c r="P104" i="1"/>
  <c r="AB106" i="1"/>
  <c r="AM106" i="1"/>
  <c r="E74" i="1"/>
  <c r="R103" i="1"/>
  <c r="AG100" i="1"/>
  <c r="AN82" i="1"/>
  <c r="AH92" i="1"/>
  <c r="AK96" i="1"/>
  <c r="F105" i="1"/>
  <c r="U89" i="1"/>
  <c r="H82" i="1"/>
  <c r="Y72" i="1"/>
  <c r="G91" i="1"/>
  <c r="P95" i="1"/>
  <c r="C99" i="1"/>
  <c r="E102" i="1"/>
  <c r="AB105" i="1"/>
  <c r="AI81" i="1"/>
  <c r="A106" i="1"/>
  <c r="AG105" i="1"/>
  <c r="K89" i="1"/>
  <c r="Q94" i="1"/>
  <c r="N98" i="1"/>
  <c r="P101" i="1"/>
  <c r="R104" i="1"/>
  <c r="T106" i="1"/>
  <c r="AA85" i="1"/>
  <c r="U93" i="1"/>
  <c r="X99" i="1"/>
  <c r="AM87" i="1"/>
  <c r="U104" i="1"/>
  <c r="Q100" i="1"/>
  <c r="AK98" i="1"/>
  <c r="G104" i="1"/>
  <c r="C105" i="1"/>
  <c r="V104" i="1"/>
  <c r="AF93" i="1"/>
  <c r="AL100" i="1"/>
  <c r="E106" i="1"/>
  <c r="N101" i="1"/>
  <c r="AL106" i="1"/>
  <c r="AP85" i="1"/>
  <c r="G103" i="1"/>
  <c r="P91" i="1"/>
  <c r="I99" i="1"/>
  <c r="S102" i="1"/>
  <c r="AC105" i="1"/>
  <c r="AN68" i="1"/>
  <c r="Q81" i="1"/>
  <c r="U87" i="1"/>
  <c r="Z75" i="1"/>
  <c r="V91" i="1"/>
  <c r="AB95" i="1"/>
  <c r="L99" i="1"/>
  <c r="N102" i="1"/>
  <c r="C97" i="1"/>
  <c r="AF104" i="1"/>
  <c r="AF86" i="1"/>
  <c r="AI97" i="1"/>
  <c r="AN103" i="1"/>
  <c r="Z104" i="1"/>
  <c r="A95" i="1"/>
  <c r="M104" i="1"/>
  <c r="B93" i="1"/>
  <c r="O100" i="1"/>
  <c r="AA102" i="1"/>
  <c r="O104" i="1"/>
  <c r="AK105" i="1"/>
  <c r="A71" i="1"/>
  <c r="G82" i="1"/>
  <c r="K88" i="1"/>
  <c r="S79" i="1"/>
  <c r="E92" i="1"/>
  <c r="G96" i="1"/>
  <c r="AB99" i="1"/>
  <c r="AD102" i="1"/>
  <c r="N105" i="1"/>
  <c r="J102" i="1"/>
  <c r="L106" i="1"/>
  <c r="B106" i="1"/>
  <c r="AC88" i="1"/>
  <c r="K94" i="1"/>
  <c r="J98" i="1"/>
  <c r="L101" i="1"/>
  <c r="N104" i="1"/>
  <c r="O106" i="1"/>
  <c r="AD101" i="1"/>
  <c r="AK104" i="1"/>
  <c r="AA104" i="1"/>
  <c r="H99" i="1"/>
  <c r="Q91" i="1"/>
  <c r="V106" i="1"/>
  <c r="AG104" i="1"/>
  <c r="AG86" i="1"/>
  <c r="AI93" i="1"/>
  <c r="AK97" i="1"/>
  <c r="AN99" i="1"/>
  <c r="D95" i="1"/>
  <c r="AB96" i="1"/>
  <c r="AO80" i="1"/>
  <c r="N92" i="1"/>
  <c r="Q96" i="1"/>
  <c r="AI99" i="1"/>
  <c r="AK102" i="1"/>
  <c r="X97" i="1"/>
  <c r="X93" i="1"/>
  <c r="AG90" i="1"/>
  <c r="O73" i="1"/>
  <c r="H91" i="1"/>
  <c r="Q95" i="1"/>
  <c r="D99" i="1"/>
  <c r="F102" i="1"/>
  <c r="AN104" i="1"/>
  <c r="AO106" i="1"/>
  <c r="T89" i="1"/>
  <c r="V94" i="1"/>
  <c r="T101" i="1"/>
  <c r="C94" i="1"/>
  <c r="AG106" i="1"/>
  <c r="A105" i="1"/>
  <c r="S103" i="1"/>
  <c r="X68" i="1"/>
  <c r="W72" i="1"/>
  <c r="AM88" i="1"/>
  <c r="I82" i="1"/>
  <c r="AC96" i="1"/>
  <c r="B100" i="1"/>
  <c r="D103" i="1"/>
  <c r="I105" i="1"/>
  <c r="B71" i="1"/>
  <c r="A67" i="1"/>
  <c r="A90" i="1"/>
  <c r="AG94" i="1"/>
  <c r="AB101" i="1"/>
  <c r="Y104" i="1"/>
  <c r="Z106" i="1"/>
  <c r="D102" i="1"/>
  <c r="P105" i="1"/>
  <c r="G105" i="1"/>
  <c r="D101" i="1"/>
  <c r="C93" i="1"/>
  <c r="M106" i="1"/>
  <c r="AO88" i="1"/>
  <c r="N94" i="1"/>
  <c r="AB98" i="1"/>
  <c r="W93" i="1"/>
  <c r="AE100" i="1"/>
  <c r="AI102" i="1"/>
  <c r="W104" i="1"/>
  <c r="C106" i="1"/>
  <c r="AM82" i="1"/>
  <c r="Z92" i="1"/>
  <c r="X105" i="1"/>
  <c r="Z98" i="1"/>
  <c r="M78" i="1"/>
  <c r="C95" i="1"/>
  <c r="AM100" i="1"/>
  <c r="I103" i="1"/>
  <c r="AE104" i="1"/>
  <c r="K106" i="1"/>
  <c r="C74" i="1"/>
  <c r="AC83" i="1"/>
  <c r="S89" i="1"/>
  <c r="T84" i="1"/>
  <c r="E93" i="1"/>
  <c r="H97" i="1"/>
  <c r="R100" i="1"/>
  <c r="T103" i="1"/>
  <c r="AI105" i="1"/>
  <c r="AE83" i="1"/>
  <c r="D92" i="1"/>
  <c r="AI71" i="1"/>
  <c r="AP90" i="1"/>
  <c r="L95" i="1"/>
  <c r="AP98" i="1"/>
  <c r="B102" i="1"/>
  <c r="AI104" i="1"/>
  <c r="AK106" i="1"/>
  <c r="T102" i="1"/>
  <c r="AA105" i="1"/>
  <c r="Q105" i="1"/>
  <c r="P103" i="1"/>
  <c r="Y95" i="1"/>
  <c r="L88" i="1"/>
  <c r="B67" i="1"/>
  <c r="J90" i="1"/>
  <c r="AI94" i="1"/>
  <c r="B99" i="1"/>
  <c r="AF103" i="1"/>
  <c r="J99" i="1"/>
  <c r="W101" i="1"/>
  <c r="J85" i="1"/>
  <c r="O93" i="1"/>
  <c r="R97" i="1"/>
  <c r="Y100" i="1"/>
  <c r="AA103" i="1"/>
  <c r="Z102" i="1"/>
  <c r="AJ98" i="1"/>
  <c r="G97" i="1"/>
  <c r="R81" i="1"/>
  <c r="O92" i="1"/>
  <c r="R96" i="1"/>
  <c r="AJ99" i="1"/>
  <c r="AL102" i="1"/>
  <c r="S105" i="1"/>
  <c r="D74" i="1"/>
  <c r="O91" i="1"/>
  <c r="W96" i="1"/>
  <c r="S104" i="1"/>
  <c r="D98" i="1"/>
  <c r="AG89" i="1"/>
  <c r="K105" i="1"/>
  <c r="AH106" i="1"/>
  <c r="AA99" i="1"/>
  <c r="AM96" i="1"/>
  <c r="L103" i="1"/>
  <c r="AD105" i="1"/>
  <c r="AN91" i="1"/>
  <c r="AE105" i="1"/>
  <c r="Z99" i="1"/>
  <c r="AK74" i="1"/>
  <c r="AE92" i="1"/>
  <c r="K81" i="1"/>
  <c r="X95" i="1"/>
  <c r="E101" i="1"/>
  <c r="Q103" i="1"/>
  <c r="AM104" i="1"/>
  <c r="S106" i="1"/>
  <c r="Y75" i="1"/>
  <c r="S84" i="1"/>
  <c r="AO89" i="1"/>
  <c r="Q86" i="1"/>
  <c r="AA93" i="1"/>
  <c r="AC97" i="1"/>
  <c r="AH100" i="1"/>
  <c r="AJ103" i="1"/>
  <c r="D106" i="1"/>
  <c r="Y94" i="1"/>
  <c r="AA95" i="1"/>
  <c r="AA75" i="1"/>
  <c r="AB91" i="1"/>
  <c r="AG95" i="1"/>
  <c r="P99" i="1"/>
  <c r="R102" i="1"/>
  <c r="D105" i="1"/>
  <c r="L98" i="1"/>
  <c r="J103" i="1"/>
  <c r="AL105" i="1"/>
  <c r="AM105" i="1"/>
  <c r="F104" i="1"/>
  <c r="AA97" i="1"/>
  <c r="Y92" i="1"/>
  <c r="X72" i="1"/>
  <c r="F91" i="1"/>
  <c r="O95" i="1"/>
  <c r="AH99" i="1"/>
  <c r="AO104" i="1"/>
  <c r="F101" i="1"/>
  <c r="AI103" i="1"/>
  <c r="G87" i="1"/>
  <c r="AJ93" i="1"/>
  <c r="AL97" i="1"/>
  <c r="AO100" i="1"/>
  <c r="A104" i="1"/>
  <c r="AD104" i="1"/>
  <c r="P100" i="1"/>
  <c r="O83" i="1"/>
  <c r="AK92" i="1"/>
  <c r="J100" i="1"/>
  <c r="AM77" i="1"/>
  <c r="B98" i="1"/>
  <c r="Z93" i="1"/>
  <c r="AI85" i="1"/>
  <c r="D97" i="1"/>
  <c r="AC101" i="1"/>
  <c r="Y103" i="1"/>
  <c r="E105" i="1"/>
  <c r="AA106" i="1"/>
  <c r="E77" i="1"/>
  <c r="I85" i="1"/>
  <c r="P90" i="1"/>
  <c r="M88" i="1"/>
  <c r="F94" i="1"/>
  <c r="F98" i="1"/>
  <c r="H101" i="1"/>
  <c r="J104" i="1"/>
  <c r="N106" i="1"/>
  <c r="T98" i="1"/>
  <c r="E98" i="1"/>
  <c r="H80" i="1"/>
  <c r="J92" i="1"/>
  <c r="M96" i="1"/>
  <c r="AF99" i="1"/>
  <c r="AH102" i="1"/>
  <c r="O105" i="1"/>
  <c r="R99" i="1"/>
  <c r="Z103" i="1"/>
  <c r="F106" i="1"/>
  <c r="G106" i="1"/>
  <c r="T105" i="1"/>
  <c r="AP99" i="1"/>
  <c r="Z94" i="1"/>
  <c r="Q76" i="1"/>
  <c r="AE91" i="1"/>
  <c r="AJ95" i="1"/>
  <c r="AN100" i="1"/>
  <c r="J106" i="1"/>
  <c r="AH103" i="1"/>
  <c r="W105" i="1"/>
  <c r="A89" i="1"/>
  <c r="P94" i="1"/>
  <c r="M98" i="1"/>
  <c r="O101" i="1"/>
  <c r="Q104" i="1"/>
  <c r="AO105" i="1"/>
  <c r="L102" i="1"/>
  <c r="AM101" i="1"/>
  <c r="K85" i="1"/>
  <c r="P93" i="1"/>
  <c r="S97" i="1"/>
  <c r="Z100" i="1"/>
  <c r="AB103" i="1"/>
  <c r="AN105" i="1"/>
  <c r="S81" i="1"/>
  <c r="U92" i="1"/>
  <c r="R98" i="1"/>
  <c r="AE106" i="1"/>
  <c r="AL101" i="1"/>
  <c r="F96" i="1"/>
  <c r="T91" i="1"/>
  <c r="O87" i="1"/>
  <c r="Z97" i="1"/>
  <c r="AK101" i="1"/>
  <c r="AG103" i="1"/>
  <c r="M105" i="1"/>
  <c r="AI106" i="1"/>
  <c r="AA78" i="1"/>
  <c r="AO85" i="1"/>
  <c r="C66" i="1"/>
  <c r="AP89" i="1"/>
  <c r="AA94" i="1"/>
  <c r="V98" i="1"/>
  <c r="X101" i="1"/>
  <c r="X104" i="1"/>
  <c r="Y106" i="1"/>
  <c r="AF100" i="1"/>
  <c r="A100" i="1"/>
  <c r="Y82" i="1"/>
  <c r="AH96" i="1"/>
  <c r="F100" i="1"/>
  <c r="H103" i="1"/>
  <c r="H100" i="1"/>
  <c r="AP103" i="1"/>
  <c r="Q106" i="1"/>
  <c r="AC106" i="1"/>
  <c r="U106" i="1"/>
  <c r="V101" i="1"/>
  <c r="Y105" i="1"/>
  <c r="M93" i="1"/>
  <c r="E97" i="1"/>
  <c r="AF91" i="1"/>
  <c r="AE101" i="1"/>
  <c r="Z96" i="1"/>
  <c r="R90" i="1"/>
  <c r="AP100" i="1"/>
  <c r="E69" i="1"/>
  <c r="N100" i="1"/>
  <c r="U98" i="1"/>
  <c r="AP104" i="1"/>
  <c r="O96" i="1"/>
  <c r="V105" i="1"/>
  <c r="AJ92" i="1"/>
  <c r="U102" i="1"/>
  <c r="H104" i="1"/>
  <c r="AG91" i="1"/>
  <c r="AF101" i="1"/>
  <c r="AD83" i="1"/>
  <c r="AP102" i="1"/>
  <c r="C103" i="1"/>
  <c r="AD106" i="1"/>
  <c r="E84" i="1"/>
  <c r="P97" i="1"/>
  <c r="D93" i="1"/>
  <c r="AK94" i="1"/>
  <c r="K103" i="1"/>
  <c r="A86" i="1"/>
  <c r="AK93" i="1"/>
  <c r="V102" i="1"/>
  <c r="W87" i="1"/>
  <c r="D70" i="1"/>
  <c r="W106" i="1"/>
  <c r="B92" i="1"/>
  <c r="F95" i="1"/>
  <c r="AC102" i="1"/>
  <c r="A68" i="1"/>
  <c r="AL96" i="1"/>
  <c r="R106" i="1"/>
  <c r="AM95" i="1"/>
  <c r="AP92" i="1"/>
  <c r="I80" i="1"/>
  <c r="F77" i="1"/>
  <c r="AD100" i="1"/>
  <c r="AM97" i="1"/>
  <c r="A94" i="1"/>
  <c r="L105" i="1"/>
  <c r="T99" i="1"/>
  <c r="AC78" i="1"/>
  <c r="AB97" i="1"/>
  <c r="AJ102" i="1"/>
  <c r="K99" i="1"/>
  <c r="AL95" i="1"/>
  <c r="AL104" i="1"/>
  <c r="E94" i="1"/>
  <c r="AL94" i="1"/>
  <c r="B104" i="1"/>
  <c r="Z90" i="1"/>
  <c r="I104" i="1"/>
  <c r="AC104" i="1"/>
  <c r="E96" i="1"/>
  <c r="AJ101" i="1"/>
  <c r="AC98" i="1"/>
  <c r="AO68" i="1"/>
  <c r="H105" i="1"/>
  <c r="AB102" i="1"/>
  <c r="AF90" i="1"/>
  <c r="AH98" i="1"/>
  <c r="B96" i="1"/>
  <c r="G101" i="1"/>
  <c r="AK84" i="1"/>
  <c r="AB78" i="1"/>
  <c r="AO82" i="1"/>
  <c r="S99" i="1"/>
  <c r="AP106" i="1"/>
  <c r="G77" i="1"/>
  <c r="AD98" i="1"/>
  <c r="I106" i="1"/>
  <c r="W95" i="1"/>
  <c r="AF105" i="1"/>
  <c r="M92" i="1"/>
  <c r="W92" i="1"/>
  <c r="Q90" i="1"/>
  <c r="I100" i="1"/>
  <c r="V87" i="1"/>
  <c r="AG20" i="1"/>
  <c r="M22" i="1"/>
  <c r="AI23" i="1"/>
  <c r="O25" i="1"/>
  <c r="AK26" i="1"/>
  <c r="Q28" i="1"/>
  <c r="AM29" i="1"/>
  <c r="S31" i="1"/>
  <c r="AO32" i="1"/>
  <c r="U34" i="1"/>
  <c r="A36" i="1"/>
  <c r="P21" i="1"/>
  <c r="AL22" i="1"/>
  <c r="R24" i="1"/>
  <c r="AN25" i="1"/>
  <c r="T27" i="1"/>
  <c r="AP28" i="1"/>
  <c r="V30" i="1"/>
  <c r="B32" i="1"/>
  <c r="X33" i="1"/>
  <c r="D35" i="1"/>
  <c r="S20" i="1"/>
  <c r="AO21" i="1"/>
  <c r="U23" i="1"/>
  <c r="A25" i="1"/>
  <c r="W26" i="1"/>
  <c r="C28" i="1"/>
  <c r="Y29" i="1"/>
  <c r="E31" i="1"/>
  <c r="AA32" i="1"/>
  <c r="G34" i="1"/>
  <c r="AC35" i="1"/>
  <c r="B21" i="1"/>
  <c r="X22" i="1"/>
  <c r="D24" i="1"/>
  <c r="Z25" i="1"/>
  <c r="F27" i="1"/>
  <c r="AB28" i="1"/>
  <c r="AD20" i="1"/>
  <c r="J22" i="1"/>
  <c r="AF23" i="1"/>
  <c r="L25" i="1"/>
  <c r="AH26" i="1"/>
  <c r="N28" i="1"/>
  <c r="AJ29" i="1"/>
  <c r="P31" i="1"/>
  <c r="AL32" i="1"/>
  <c r="R34" i="1"/>
  <c r="AN35" i="1"/>
  <c r="M21" i="1"/>
  <c r="AI22" i="1"/>
  <c r="O24" i="1"/>
  <c r="AK25" i="1"/>
  <c r="Q27" i="1"/>
  <c r="AM28" i="1"/>
  <c r="S30" i="1"/>
  <c r="AO31" i="1"/>
  <c r="U33" i="1"/>
  <c r="A35" i="1"/>
  <c r="AN20" i="1"/>
  <c r="B27" i="1"/>
  <c r="AM31" i="1"/>
  <c r="AP35" i="1"/>
  <c r="AA37" i="1"/>
  <c r="G39" i="1"/>
  <c r="AC40" i="1"/>
  <c r="I42" i="1"/>
  <c r="AE43" i="1"/>
  <c r="AI21" i="1"/>
  <c r="AM27" i="1"/>
  <c r="U32" i="1"/>
  <c r="N36" i="1"/>
  <c r="AJ37" i="1"/>
  <c r="P39" i="1"/>
  <c r="AL40" i="1"/>
  <c r="R42" i="1"/>
  <c r="AN43" i="1"/>
  <c r="AB22" i="1"/>
  <c r="AI25" i="1"/>
  <c r="F31" i="1"/>
  <c r="G35" i="1"/>
  <c r="N37" i="1"/>
  <c r="AJ38" i="1"/>
  <c r="P40" i="1"/>
  <c r="AL41" i="1"/>
  <c r="AO20" i="1"/>
  <c r="U22" i="1"/>
  <c r="A24" i="1"/>
  <c r="W25" i="1"/>
  <c r="C27" i="1"/>
  <c r="Y28" i="1"/>
  <c r="E30" i="1"/>
  <c r="AA31" i="1"/>
  <c r="G33" i="1"/>
  <c r="AC34" i="1"/>
  <c r="B20" i="1"/>
  <c r="X21" i="1"/>
  <c r="D23" i="1"/>
  <c r="Z24" i="1"/>
  <c r="F26" i="1"/>
  <c r="AB27" i="1"/>
  <c r="H29" i="1"/>
  <c r="AD30" i="1"/>
  <c r="J32" i="1"/>
  <c r="AF33" i="1"/>
  <c r="L35" i="1"/>
  <c r="AA20" i="1"/>
  <c r="G22" i="1"/>
  <c r="AC23" i="1"/>
  <c r="I25" i="1"/>
  <c r="AE26" i="1"/>
  <c r="K28" i="1"/>
  <c r="AG29" i="1"/>
  <c r="M31" i="1"/>
  <c r="AI32" i="1"/>
  <c r="O34" i="1"/>
  <c r="AK35" i="1"/>
  <c r="J21" i="1"/>
  <c r="AF22" i="1"/>
  <c r="L24" i="1"/>
  <c r="AH25" i="1"/>
  <c r="N27" i="1"/>
  <c r="AJ28" i="1"/>
  <c r="AL20" i="1"/>
  <c r="R22" i="1"/>
  <c r="AN23" i="1"/>
  <c r="T25" i="1"/>
  <c r="AP26" i="1"/>
  <c r="V28" i="1"/>
  <c r="B30" i="1"/>
  <c r="X31" i="1"/>
  <c r="D33" i="1"/>
  <c r="Z34" i="1"/>
  <c r="F36" i="1"/>
  <c r="U21" i="1"/>
  <c r="A23" i="1"/>
  <c r="W24" i="1"/>
  <c r="C26" i="1"/>
  <c r="Y27" i="1"/>
  <c r="E29" i="1"/>
  <c r="AA30" i="1"/>
  <c r="G32" i="1"/>
  <c r="AC33" i="1"/>
  <c r="I35" i="1"/>
  <c r="AD21" i="1"/>
  <c r="AH27" i="1"/>
  <c r="T32" i="1"/>
  <c r="M36" i="1"/>
  <c r="AI37" i="1"/>
  <c r="O39" i="1"/>
  <c r="AK40" i="1"/>
  <c r="Q42" i="1"/>
  <c r="AM43" i="1"/>
  <c r="Y22" i="1"/>
  <c r="AC28" i="1"/>
  <c r="B33" i="1"/>
  <c r="V36" i="1"/>
  <c r="B38" i="1"/>
  <c r="X39" i="1"/>
  <c r="D41" i="1"/>
  <c r="Z42" i="1"/>
  <c r="F44" i="1"/>
  <c r="U20" i="1"/>
  <c r="Y26" i="1"/>
  <c r="Z31" i="1"/>
  <c r="G21" i="1"/>
  <c r="AC22" i="1"/>
  <c r="I24" i="1"/>
  <c r="AE25" i="1"/>
  <c r="K27" i="1"/>
  <c r="AG28" i="1"/>
  <c r="M30" i="1"/>
  <c r="AI31" i="1"/>
  <c r="O33" i="1"/>
  <c r="AK34" i="1"/>
  <c r="J20" i="1"/>
  <c r="AF21" i="1"/>
  <c r="L23" i="1"/>
  <c r="AH24" i="1"/>
  <c r="N26" i="1"/>
  <c r="AJ27" i="1"/>
  <c r="P29" i="1"/>
  <c r="AL30" i="1"/>
  <c r="R32" i="1"/>
  <c r="AN33" i="1"/>
  <c r="T35" i="1"/>
  <c r="AI20" i="1"/>
  <c r="O22" i="1"/>
  <c r="AK23" i="1"/>
  <c r="Q25" i="1"/>
  <c r="AM26" i="1"/>
  <c r="S28" i="1"/>
  <c r="AO29" i="1"/>
  <c r="U31" i="1"/>
  <c r="A33" i="1"/>
  <c r="W34" i="1"/>
  <c r="C36" i="1"/>
  <c r="R21" i="1"/>
  <c r="AN22" i="1"/>
  <c r="T24" i="1"/>
  <c r="AP25" i="1"/>
  <c r="V27" i="1"/>
  <c r="B29" i="1"/>
  <c r="D21" i="1"/>
  <c r="Z22" i="1"/>
  <c r="F24" i="1"/>
  <c r="AB25" i="1"/>
  <c r="H27" i="1"/>
  <c r="AD28" i="1"/>
  <c r="J30" i="1"/>
  <c r="AF31" i="1"/>
  <c r="L33" i="1"/>
  <c r="AH34" i="1"/>
  <c r="G20" i="1"/>
  <c r="AC21" i="1"/>
  <c r="I23" i="1"/>
  <c r="AE24" i="1"/>
  <c r="K26" i="1"/>
  <c r="AG27" i="1"/>
  <c r="M29" i="1"/>
  <c r="AI30" i="1"/>
  <c r="O32" i="1"/>
  <c r="AK33" i="1"/>
  <c r="Q35" i="1"/>
  <c r="T22" i="1"/>
  <c r="X28" i="1"/>
  <c r="AN32" i="1"/>
  <c r="U36" i="1"/>
  <c r="A38" i="1"/>
  <c r="W39" i="1"/>
  <c r="C41" i="1"/>
  <c r="Y42" i="1"/>
  <c r="E44" i="1"/>
  <c r="O23" i="1"/>
  <c r="S29" i="1"/>
  <c r="V33" i="1"/>
  <c r="AD36" i="1"/>
  <c r="J38" i="1"/>
  <c r="AF39" i="1"/>
  <c r="L41" i="1"/>
  <c r="AH42" i="1"/>
  <c r="N44" i="1"/>
  <c r="K21" i="1"/>
  <c r="O27" i="1"/>
  <c r="E32" i="1"/>
  <c r="H36" i="1"/>
  <c r="O21" i="1"/>
  <c r="AK22" i="1"/>
  <c r="Q24" i="1"/>
  <c r="AM25" i="1"/>
  <c r="S27" i="1"/>
  <c r="AO28" i="1"/>
  <c r="U30" i="1"/>
  <c r="A32" i="1"/>
  <c r="W33" i="1"/>
  <c r="C35" i="1"/>
  <c r="R20" i="1"/>
  <c r="AN21" i="1"/>
  <c r="T23" i="1"/>
  <c r="AP24" i="1"/>
  <c r="V26" i="1"/>
  <c r="B28" i="1"/>
  <c r="X29" i="1"/>
  <c r="D31" i="1"/>
  <c r="Z32" i="1"/>
  <c r="F34" i="1"/>
  <c r="AB35" i="1"/>
  <c r="A21" i="1"/>
  <c r="W22" i="1"/>
  <c r="C24" i="1"/>
  <c r="Y25" i="1"/>
  <c r="E27" i="1"/>
  <c r="AA28" i="1"/>
  <c r="G30" i="1"/>
  <c r="AC31" i="1"/>
  <c r="I33" i="1"/>
  <c r="AE34" i="1"/>
  <c r="D20" i="1"/>
  <c r="Z21" i="1"/>
  <c r="F23" i="1"/>
  <c r="AB24" i="1"/>
  <c r="H26" i="1"/>
  <c r="AD27" i="1"/>
  <c r="J29" i="1"/>
  <c r="L21" i="1"/>
  <c r="AH22" i="1"/>
  <c r="N24" i="1"/>
  <c r="AJ25" i="1"/>
  <c r="P27" i="1"/>
  <c r="AL28" i="1"/>
  <c r="R30" i="1"/>
  <c r="AN31" i="1"/>
  <c r="T33" i="1"/>
  <c r="AP34" i="1"/>
  <c r="O20" i="1"/>
  <c r="AK21" i="1"/>
  <c r="Q23" i="1"/>
  <c r="AM24" i="1"/>
  <c r="S26" i="1"/>
  <c r="AO27" i="1"/>
  <c r="U29" i="1"/>
  <c r="A31" i="1"/>
  <c r="W32" i="1"/>
  <c r="C34" i="1"/>
  <c r="Y35" i="1"/>
  <c r="J23" i="1"/>
  <c r="N29" i="1"/>
  <c r="S33" i="1"/>
  <c r="AC36" i="1"/>
  <c r="I38" i="1"/>
  <c r="AE39" i="1"/>
  <c r="K41" i="1"/>
  <c r="AG42" i="1"/>
  <c r="M44" i="1"/>
  <c r="E24" i="1"/>
  <c r="AP29" i="1"/>
  <c r="A34" i="1"/>
  <c r="AL36" i="1"/>
  <c r="R38" i="1"/>
  <c r="AN39" i="1"/>
  <c r="T41" i="1"/>
  <c r="AP42" i="1"/>
  <c r="V44" i="1"/>
  <c r="A22" i="1"/>
  <c r="E28" i="1"/>
  <c r="AB32" i="1"/>
  <c r="P36" i="1"/>
  <c r="AL37" i="1"/>
  <c r="R39" i="1"/>
  <c r="AN40" i="1"/>
  <c r="T42" i="1"/>
  <c r="A20" i="1"/>
  <c r="W21" i="1"/>
  <c r="C23" i="1"/>
  <c r="Y24" i="1"/>
  <c r="E26" i="1"/>
  <c r="AA27" i="1"/>
  <c r="G29" i="1"/>
  <c r="AC30" i="1"/>
  <c r="I32" i="1"/>
  <c r="AE33" i="1"/>
  <c r="K35" i="1"/>
  <c r="Z20" i="1"/>
  <c r="F22" i="1"/>
  <c r="AB23" i="1"/>
  <c r="H25" i="1"/>
  <c r="AD26" i="1"/>
  <c r="J28" i="1"/>
  <c r="AF29" i="1"/>
  <c r="L31" i="1"/>
  <c r="AH32" i="1"/>
  <c r="N34" i="1"/>
  <c r="AJ35" i="1"/>
  <c r="I21" i="1"/>
  <c r="AE22" i="1"/>
  <c r="K24" i="1"/>
  <c r="AG25" i="1"/>
  <c r="M27" i="1"/>
  <c r="AI28" i="1"/>
  <c r="O30" i="1"/>
  <c r="AK31" i="1"/>
  <c r="Q33" i="1"/>
  <c r="AM34" i="1"/>
  <c r="L20" i="1"/>
  <c r="AH21" i="1"/>
  <c r="N23" i="1"/>
  <c r="AJ24" i="1"/>
  <c r="P26" i="1"/>
  <c r="AL27" i="1"/>
  <c r="R29" i="1"/>
  <c r="T21" i="1"/>
  <c r="AP22" i="1"/>
  <c r="V24" i="1"/>
  <c r="B26" i="1"/>
  <c r="X27" i="1"/>
  <c r="D29" i="1"/>
  <c r="Z30" i="1"/>
  <c r="F32" i="1"/>
  <c r="AB33" i="1"/>
  <c r="H35" i="1"/>
  <c r="W20" i="1"/>
  <c r="C22" i="1"/>
  <c r="Y23" i="1"/>
  <c r="E25" i="1"/>
  <c r="AA26" i="1"/>
  <c r="G28" i="1"/>
  <c r="AC29" i="1"/>
  <c r="I31" i="1"/>
  <c r="AE32" i="1"/>
  <c r="K34" i="1"/>
  <c r="AG35" i="1"/>
  <c r="AP23" i="1"/>
  <c r="AL29" i="1"/>
  <c r="AP33" i="1"/>
  <c r="AK36" i="1"/>
  <c r="Q38" i="1"/>
  <c r="AM39" i="1"/>
  <c r="S41" i="1"/>
  <c r="AO42" i="1"/>
  <c r="U44" i="1"/>
  <c r="AK24" i="1"/>
  <c r="T30" i="1"/>
  <c r="X34" i="1"/>
  <c r="D37" i="1"/>
  <c r="Z38" i="1"/>
  <c r="F40" i="1"/>
  <c r="AB41" i="1"/>
  <c r="H43" i="1"/>
  <c r="AD44" i="1"/>
  <c r="AG22" i="1"/>
  <c r="AK28" i="1"/>
  <c r="F33" i="1"/>
  <c r="X36" i="1"/>
  <c r="D38" i="1"/>
  <c r="Z39" i="1"/>
  <c r="F41" i="1"/>
  <c r="I20" i="1"/>
  <c r="AE21" i="1"/>
  <c r="K23" i="1"/>
  <c r="AG24" i="1"/>
  <c r="M26" i="1"/>
  <c r="AI27" i="1"/>
  <c r="O29" i="1"/>
  <c r="AK30" i="1"/>
  <c r="Q32" i="1"/>
  <c r="AM33" i="1"/>
  <c r="S35" i="1"/>
  <c r="AH20" i="1"/>
  <c r="N22" i="1"/>
  <c r="AJ23" i="1"/>
  <c r="P25" i="1"/>
  <c r="AL26" i="1"/>
  <c r="R28" i="1"/>
  <c r="AN29" i="1"/>
  <c r="T31" i="1"/>
  <c r="AP32" i="1"/>
  <c r="V34" i="1"/>
  <c r="B36" i="1"/>
  <c r="Q21" i="1"/>
  <c r="AM22" i="1"/>
  <c r="S24" i="1"/>
  <c r="AO25" i="1"/>
  <c r="U27" i="1"/>
  <c r="A29" i="1"/>
  <c r="W30" i="1"/>
  <c r="C32" i="1"/>
  <c r="Y33" i="1"/>
  <c r="E35" i="1"/>
  <c r="T20" i="1"/>
  <c r="AP21" i="1"/>
  <c r="V23" i="1"/>
  <c r="B25" i="1"/>
  <c r="X26" i="1"/>
  <c r="D28" i="1"/>
  <c r="F20" i="1"/>
  <c r="AB21" i="1"/>
  <c r="H23" i="1"/>
  <c r="AD24" i="1"/>
  <c r="J26" i="1"/>
  <c r="AF27" i="1"/>
  <c r="L29" i="1"/>
  <c r="AH30" i="1"/>
  <c r="N32" i="1"/>
  <c r="AJ33" i="1"/>
  <c r="P35" i="1"/>
  <c r="AE20" i="1"/>
  <c r="K22" i="1"/>
  <c r="AG23" i="1"/>
  <c r="M25" i="1"/>
  <c r="AI26" i="1"/>
  <c r="O28" i="1"/>
  <c r="AK29" i="1"/>
  <c r="Q31" i="1"/>
  <c r="AM32" i="1"/>
  <c r="S34" i="1"/>
  <c r="AO35" i="1"/>
  <c r="Q20" i="1"/>
  <c r="AM21" i="1"/>
  <c r="S23" i="1"/>
  <c r="AO24" i="1"/>
  <c r="U26" i="1"/>
  <c r="A28" i="1"/>
  <c r="W29" i="1"/>
  <c r="C31" i="1"/>
  <c r="Y32" i="1"/>
  <c r="E34" i="1"/>
  <c r="AA35" i="1"/>
  <c r="AP20" i="1"/>
  <c r="V22" i="1"/>
  <c r="B24" i="1"/>
  <c r="X25" i="1"/>
  <c r="D27" i="1"/>
  <c r="Z28" i="1"/>
  <c r="F30" i="1"/>
  <c r="AB31" i="1"/>
  <c r="H33" i="1"/>
  <c r="AD34" i="1"/>
  <c r="C20" i="1"/>
  <c r="Y21" i="1"/>
  <c r="E23" i="1"/>
  <c r="AA24" i="1"/>
  <c r="G26" i="1"/>
  <c r="AC27" i="1"/>
  <c r="I29" i="1"/>
  <c r="AE30" i="1"/>
  <c r="K32" i="1"/>
  <c r="AG33" i="1"/>
  <c r="M35" i="1"/>
  <c r="AB20" i="1"/>
  <c r="H22" i="1"/>
  <c r="AD23" i="1"/>
  <c r="J25" i="1"/>
  <c r="AF26" i="1"/>
  <c r="L28" i="1"/>
  <c r="N20" i="1"/>
  <c r="AJ21" i="1"/>
  <c r="P23" i="1"/>
  <c r="AL24" i="1"/>
  <c r="R26" i="1"/>
  <c r="AN27" i="1"/>
  <c r="T29" i="1"/>
  <c r="AP30" i="1"/>
  <c r="V32" i="1"/>
  <c r="AC26" i="1"/>
  <c r="AD22" i="1"/>
  <c r="I28" i="1"/>
  <c r="J24" i="1"/>
  <c r="K20" i="1"/>
  <c r="S32" i="1"/>
  <c r="T28" i="1"/>
  <c r="H31" i="1"/>
  <c r="S22" i="1"/>
  <c r="W28" i="1"/>
  <c r="AA34" i="1"/>
  <c r="AN30" i="1"/>
  <c r="Y38" i="1"/>
  <c r="A42" i="1"/>
  <c r="Q26" i="1"/>
  <c r="L37" i="1"/>
  <c r="AD40" i="1"/>
  <c r="F21" i="1"/>
  <c r="AA33" i="1"/>
  <c r="AD37" i="1"/>
  <c r="H40" i="1"/>
  <c r="AB42" i="1"/>
  <c r="H44" i="1"/>
  <c r="F25" i="1"/>
  <c r="AB30" i="1"/>
  <c r="AF34" i="1"/>
  <c r="G37" i="1"/>
  <c r="AC38" i="1"/>
  <c r="I40" i="1"/>
  <c r="AE41" i="1"/>
  <c r="K43" i="1"/>
  <c r="AG44" i="1"/>
  <c r="M46" i="1"/>
  <c r="S21" i="1"/>
  <c r="W27" i="1"/>
  <c r="L32" i="1"/>
  <c r="J36" i="1"/>
  <c r="AF37" i="1"/>
  <c r="L39" i="1"/>
  <c r="AH40" i="1"/>
  <c r="N42" i="1"/>
  <c r="N25" i="1"/>
  <c r="AB36" i="1"/>
  <c r="AE40" i="1"/>
  <c r="AE29" i="1"/>
  <c r="AF25" i="1"/>
  <c r="AG21" i="1"/>
  <c r="AO33" i="1"/>
  <c r="V20" i="1"/>
  <c r="AD32" i="1"/>
  <c r="AA22" i="1"/>
  <c r="AE28" i="1"/>
  <c r="AI34" i="1"/>
  <c r="R31" i="1"/>
  <c r="AG38" i="1"/>
  <c r="G43" i="1"/>
  <c r="G27" i="1"/>
  <c r="T37" i="1"/>
  <c r="AJ41" i="1"/>
  <c r="AL21" i="1"/>
  <c r="H34" i="1"/>
  <c r="L38" i="1"/>
  <c r="X40" i="1"/>
  <c r="AJ42" i="1"/>
  <c r="P44" i="1"/>
  <c r="AL25" i="1"/>
  <c r="G31" i="1"/>
  <c r="J35" i="1"/>
  <c r="O37" i="1"/>
  <c r="AK38" i="1"/>
  <c r="Q40" i="1"/>
  <c r="AM41" i="1"/>
  <c r="S43" i="1"/>
  <c r="AO44" i="1"/>
  <c r="U46" i="1"/>
  <c r="I22" i="1"/>
  <c r="M28" i="1"/>
  <c r="AF32" i="1"/>
  <c r="R36" i="1"/>
  <c r="AN37" i="1"/>
  <c r="T39" i="1"/>
  <c r="AP40" i="1"/>
  <c r="V42" i="1"/>
  <c r="J27" i="1"/>
  <c r="I37" i="1"/>
  <c r="J41" i="1"/>
  <c r="AF44" i="1"/>
  <c r="V46" i="1"/>
  <c r="G48" i="1"/>
  <c r="AC49" i="1"/>
  <c r="I51" i="1"/>
  <c r="AE52" i="1"/>
  <c r="K54" i="1"/>
  <c r="M32" i="1"/>
  <c r="AF38" i="1"/>
  <c r="AI42" i="1"/>
  <c r="S45" i="1"/>
  <c r="H47" i="1"/>
  <c r="AF48" i="1"/>
  <c r="L50" i="1"/>
  <c r="AH51" i="1"/>
  <c r="N53" i="1"/>
  <c r="AJ54" i="1"/>
  <c r="AK20" i="1"/>
  <c r="F35" i="1"/>
  <c r="AK39" i="1"/>
  <c r="AG43" i="1"/>
  <c r="AL45" i="1"/>
  <c r="AA47" i="1"/>
  <c r="G49" i="1"/>
  <c r="AC50" i="1"/>
  <c r="I52" i="1"/>
  <c r="AE53" i="1"/>
  <c r="D26" i="1"/>
  <c r="AJ36" i="1"/>
  <c r="AM40" i="1"/>
  <c r="X44" i="1"/>
  <c r="P46" i="1"/>
  <c r="B48" i="1"/>
  <c r="X49" i="1"/>
  <c r="D51" i="1"/>
  <c r="Z52" i="1"/>
  <c r="D34" i="1"/>
  <c r="U39" i="1"/>
  <c r="U43" i="1"/>
  <c r="AF45" i="1"/>
  <c r="U47" i="1"/>
  <c r="A49" i="1"/>
  <c r="W50" i="1"/>
  <c r="K31" i="1"/>
  <c r="Y20" i="1"/>
  <c r="AG32" i="1"/>
  <c r="AH28" i="1"/>
  <c r="AI24" i="1"/>
  <c r="AJ20" i="1"/>
  <c r="X23" i="1"/>
  <c r="J34" i="1"/>
  <c r="G24" i="1"/>
  <c r="K30" i="1"/>
  <c r="H20" i="1"/>
  <c r="AO34" i="1"/>
  <c r="E40" i="1"/>
  <c r="W43" i="1"/>
  <c r="V31" i="1"/>
  <c r="AH38" i="1"/>
  <c r="J42" i="1"/>
  <c r="M24" i="1"/>
  <c r="AD35" i="1"/>
  <c r="AB38" i="1"/>
  <c r="N41" i="1"/>
  <c r="J43" i="1"/>
  <c r="N21" i="1"/>
  <c r="R27" i="1"/>
  <c r="H32" i="1"/>
  <c r="I36" i="1"/>
  <c r="AE37" i="1"/>
  <c r="K39" i="1"/>
  <c r="AG40" i="1"/>
  <c r="M42" i="1"/>
  <c r="AI43" i="1"/>
  <c r="O45" i="1"/>
  <c r="AK46" i="1"/>
  <c r="AE23" i="1"/>
  <c r="AD29" i="1"/>
  <c r="AH33" i="1"/>
  <c r="AH36" i="1"/>
  <c r="N38" i="1"/>
  <c r="AJ39" i="1"/>
  <c r="P41" i="1"/>
  <c r="AL42" i="1"/>
  <c r="AG30" i="1"/>
  <c r="H38" i="1"/>
  <c r="K42" i="1"/>
  <c r="AA23" i="1"/>
  <c r="AI35" i="1"/>
  <c r="AJ31" i="1"/>
  <c r="AK27" i="1"/>
  <c r="AL23" i="1"/>
  <c r="Z26" i="1"/>
  <c r="AF35" i="1"/>
  <c r="AC25" i="1"/>
  <c r="AG31" i="1"/>
  <c r="V25" i="1"/>
  <c r="C37" i="1"/>
  <c r="U40" i="1"/>
  <c r="M20" i="1"/>
  <c r="B35" i="1"/>
  <c r="H39" i="1"/>
  <c r="X43" i="1"/>
  <c r="Z29" i="1"/>
  <c r="AN36" i="1"/>
  <c r="J39" i="1"/>
  <c r="AD41" i="1"/>
  <c r="Z43" i="1"/>
  <c r="AJ22" i="1"/>
  <c r="AN28" i="1"/>
  <c r="J33" i="1"/>
  <c r="Y36" i="1"/>
  <c r="E38" i="1"/>
  <c r="AA39" i="1"/>
  <c r="G41" i="1"/>
  <c r="AC42" i="1"/>
  <c r="I44" i="1"/>
  <c r="AE45" i="1"/>
  <c r="K47" i="1"/>
  <c r="K25" i="1"/>
  <c r="AF30" i="1"/>
  <c r="AG34" i="1"/>
  <c r="H37" i="1"/>
  <c r="AD38" i="1"/>
  <c r="J40" i="1"/>
  <c r="AF41" i="1"/>
  <c r="L43" i="1"/>
  <c r="R33" i="1"/>
  <c r="I39" i="1"/>
  <c r="M43" i="1"/>
  <c r="AA45" i="1"/>
  <c r="P47" i="1"/>
  <c r="AM48" i="1"/>
  <c r="S50" i="1"/>
  <c r="AO51" i="1"/>
  <c r="U53" i="1"/>
  <c r="S25" i="1"/>
  <c r="AE36" i="1"/>
  <c r="AI40" i="1"/>
  <c r="T44" i="1"/>
  <c r="N46" i="1"/>
  <c r="AP47" i="1"/>
  <c r="V49" i="1"/>
  <c r="B51" i="1"/>
  <c r="X52" i="1"/>
  <c r="D54" i="1"/>
  <c r="Z55" i="1"/>
  <c r="AH29" i="1"/>
  <c r="AH37" i="1"/>
  <c r="AK41" i="1"/>
  <c r="B45" i="1"/>
  <c r="AG46" i="1"/>
  <c r="Q48" i="1"/>
  <c r="AM49" i="1"/>
  <c r="S51" i="1"/>
  <c r="AO52" i="1"/>
  <c r="U54" i="1"/>
  <c r="X32" i="1"/>
  <c r="AM38" i="1"/>
  <c r="AN42" i="1"/>
  <c r="U45" i="1"/>
  <c r="J47" i="1"/>
  <c r="AH48" i="1"/>
  <c r="N50" i="1"/>
  <c r="AJ51" i="1"/>
  <c r="P28" i="1"/>
  <c r="R37" i="1"/>
  <c r="U41" i="1"/>
  <c r="AK44" i="1"/>
  <c r="Z46" i="1"/>
  <c r="K48" i="1"/>
  <c r="AG49" i="1"/>
  <c r="L27" i="1"/>
  <c r="N30" i="1"/>
  <c r="P33" i="1"/>
  <c r="R25" i="1"/>
  <c r="AM20" i="1"/>
  <c r="E33" i="1"/>
  <c r="K37" i="1"/>
  <c r="C21" i="1"/>
  <c r="N40" i="1"/>
  <c r="D30" i="1"/>
  <c r="AH39" i="1"/>
  <c r="AH43" i="1"/>
  <c r="AA29" i="1"/>
  <c r="AG36" i="1"/>
  <c r="AI39" i="1"/>
  <c r="AK42" i="1"/>
  <c r="AM45" i="1"/>
  <c r="A26" i="1"/>
  <c r="N35" i="1"/>
  <c r="AL38" i="1"/>
  <c r="AN41" i="1"/>
  <c r="AJ34" i="1"/>
  <c r="AC43" i="1"/>
  <c r="L46" i="1"/>
  <c r="W48" i="1"/>
  <c r="AA50" i="1"/>
  <c r="W52" i="1"/>
  <c r="AF20" i="1"/>
  <c r="J37" i="1"/>
  <c r="O42" i="1"/>
  <c r="AK45" i="1"/>
  <c r="H48" i="1"/>
  <c r="D50" i="1"/>
  <c r="H52" i="1"/>
  <c r="L54" i="1"/>
  <c r="H56" i="1"/>
  <c r="AI36" i="1"/>
  <c r="P42" i="1"/>
  <c r="AC45" i="1"/>
  <c r="A48" i="1"/>
  <c r="E50" i="1"/>
  <c r="A52" i="1"/>
  <c r="E54" i="1"/>
  <c r="AL33" i="1"/>
  <c r="S40" i="1"/>
  <c r="C45" i="1"/>
  <c r="T47" i="1"/>
  <c r="P49" i="1"/>
  <c r="T51" i="1"/>
  <c r="A30" i="1"/>
  <c r="AN38" i="1"/>
  <c r="K44" i="1"/>
  <c r="AI46" i="1"/>
  <c r="AI48" i="1"/>
  <c r="AM50" i="1"/>
  <c r="S52" i="1"/>
  <c r="AO53" i="1"/>
  <c r="U55" i="1"/>
  <c r="P30" i="1"/>
  <c r="C38" i="1"/>
  <c r="G42" i="1"/>
  <c r="F45" i="1"/>
  <c r="AL46" i="1"/>
  <c r="U48" i="1"/>
  <c r="A50" i="1"/>
  <c r="W51" i="1"/>
  <c r="C53" i="1"/>
  <c r="L59" i="1"/>
  <c r="J58" i="1"/>
  <c r="G40" i="1"/>
  <c r="L49" i="1"/>
  <c r="P54" i="1"/>
  <c r="R56" i="1"/>
  <c r="AH60" i="1"/>
  <c r="AJ57" i="1"/>
  <c r="W38" i="1"/>
  <c r="AB48" i="1"/>
  <c r="A54" i="1"/>
  <c r="K56" i="1"/>
  <c r="AG57" i="1"/>
  <c r="M59" i="1"/>
  <c r="AI60" i="1"/>
  <c r="Z57" i="1"/>
  <c r="AL59" i="1"/>
  <c r="AP61" i="1"/>
  <c r="M47" i="1"/>
  <c r="X55" i="1"/>
  <c r="AL34" i="1"/>
  <c r="E22" i="1"/>
  <c r="G25" i="1"/>
  <c r="O26" i="1"/>
  <c r="D25" i="1"/>
  <c r="U25" i="1"/>
  <c r="AF24" i="1"/>
  <c r="M40" i="1"/>
  <c r="AP31" i="1"/>
  <c r="P43" i="1"/>
  <c r="AF36" i="1"/>
  <c r="V41" i="1"/>
  <c r="D22" i="1"/>
  <c r="AC32" i="1"/>
  <c r="AM37" i="1"/>
  <c r="AO40" i="1"/>
  <c r="A44" i="1"/>
  <c r="C47" i="1"/>
  <c r="I30" i="1"/>
  <c r="AP36" i="1"/>
  <c r="B40" i="1"/>
  <c r="D43" i="1"/>
  <c r="AE38" i="1"/>
  <c r="AP44" i="1"/>
  <c r="G47" i="1"/>
  <c r="M49" i="1"/>
  <c r="Q51" i="1"/>
  <c r="M53" i="1"/>
  <c r="V29" i="1"/>
  <c r="M39" i="1"/>
  <c r="D44" i="1"/>
  <c r="AF46" i="1"/>
  <c r="AN48" i="1"/>
  <c r="AJ50" i="1"/>
  <c r="AN52" i="1"/>
  <c r="B55" i="1"/>
  <c r="AE27" i="1"/>
  <c r="AI38" i="1"/>
  <c r="G44" i="1"/>
  <c r="X46" i="1"/>
  <c r="AG48" i="1"/>
  <c r="AK50" i="1"/>
  <c r="AG52" i="1"/>
  <c r="V21" i="1"/>
  <c r="Q37" i="1"/>
  <c r="S42" i="1"/>
  <c r="AN45" i="1"/>
  <c r="J48" i="1"/>
  <c r="F50" i="1"/>
  <c r="J52" i="1"/>
  <c r="R35" i="1"/>
  <c r="A41" i="1"/>
  <c r="M45" i="1"/>
  <c r="AC47" i="1"/>
  <c r="Y49" i="1"/>
  <c r="U51" i="1"/>
  <c r="A53" i="1"/>
  <c r="W54" i="1"/>
  <c r="C56" i="1"/>
  <c r="Q34" i="1"/>
  <c r="Y39" i="1"/>
  <c r="Y43" i="1"/>
  <c r="AH45" i="1"/>
  <c r="W47" i="1"/>
  <c r="C49" i="1"/>
  <c r="Y50" i="1"/>
  <c r="E52" i="1"/>
  <c r="AA53" i="1"/>
  <c r="F39" i="1"/>
  <c r="D61" i="1"/>
  <c r="H45" i="1"/>
  <c r="X51" i="1"/>
  <c r="I55" i="1"/>
  <c r="P57" i="1"/>
  <c r="AL48" i="1"/>
  <c r="AL60" i="1"/>
  <c r="L44" i="1"/>
  <c r="AN50" i="1"/>
  <c r="AP54" i="1"/>
  <c r="AI56" i="1"/>
  <c r="O58" i="1"/>
  <c r="AK59" i="1"/>
  <c r="Q61" i="1"/>
  <c r="X58" i="1"/>
  <c r="AB60" i="1"/>
  <c r="A39" i="1"/>
  <c r="F51" i="1"/>
  <c r="M34" i="1"/>
  <c r="Q29" i="1"/>
  <c r="F28" i="1"/>
  <c r="A27" i="1"/>
  <c r="L26" i="1"/>
  <c r="AA41" i="1"/>
  <c r="W35" i="1"/>
  <c r="AF43" i="1"/>
  <c r="F37" i="1"/>
  <c r="D42" i="1"/>
  <c r="Z23" i="1"/>
  <c r="AD33" i="1"/>
  <c r="M38" i="1"/>
  <c r="O41" i="1"/>
  <c r="Q44" i="1"/>
  <c r="S47" i="1"/>
  <c r="J31" i="1"/>
  <c r="P37" i="1"/>
  <c r="R40" i="1"/>
  <c r="E20" i="1"/>
  <c r="AD39" i="1"/>
  <c r="I45" i="1"/>
  <c r="Y47" i="1"/>
  <c r="U49" i="1"/>
  <c r="Y51" i="1"/>
  <c r="AC53" i="1"/>
  <c r="AJ30" i="1"/>
  <c r="AG39" i="1"/>
  <c r="AH44" i="1"/>
  <c r="AO46" i="1"/>
  <c r="F49" i="1"/>
  <c r="J51" i="1"/>
  <c r="F53" i="1"/>
  <c r="J55" i="1"/>
  <c r="B31" i="1"/>
  <c r="N39" i="1"/>
  <c r="W44" i="1"/>
  <c r="AP46" i="1"/>
  <c r="AO48" i="1"/>
  <c r="C51" i="1"/>
  <c r="G53" i="1"/>
  <c r="AM23" i="1"/>
  <c r="AK37" i="1"/>
  <c r="T43" i="1"/>
  <c r="G46" i="1"/>
  <c r="R48" i="1"/>
  <c r="V50" i="1"/>
  <c r="R52" i="1"/>
  <c r="S36" i="1"/>
  <c r="AP41" i="1"/>
  <c r="V45" i="1"/>
  <c r="AK47" i="1"/>
  <c r="AO49" i="1"/>
  <c r="AC51" i="1"/>
  <c r="I53" i="1"/>
  <c r="AE54" i="1"/>
  <c r="Q22" i="1"/>
  <c r="AL35" i="1"/>
  <c r="D40" i="1"/>
  <c r="AO43" i="1"/>
  <c r="A46" i="1"/>
  <c r="AE47" i="1"/>
  <c r="K49" i="1"/>
  <c r="AG50" i="1"/>
  <c r="M52" i="1"/>
  <c r="AI53" i="1"/>
  <c r="AB49" i="1"/>
  <c r="B23" i="1"/>
  <c r="B46" i="1"/>
  <c r="N52" i="1"/>
  <c r="T55" i="1"/>
  <c r="X57" i="1"/>
  <c r="AD52" i="1"/>
  <c r="AB61" i="1"/>
  <c r="N45" i="1"/>
  <c r="AD51" i="1"/>
  <c r="K55" i="1"/>
  <c r="A57" i="1"/>
  <c r="W58" i="1"/>
  <c r="C60" i="1"/>
  <c r="Y61" i="1"/>
  <c r="AF58" i="1"/>
  <c r="B61" i="1"/>
  <c r="B41" i="1"/>
  <c r="AB52" i="1"/>
  <c r="H21" i="1"/>
  <c r="AM30" i="1"/>
  <c r="AB29" i="1"/>
  <c r="I27" i="1"/>
  <c r="Q30" i="1"/>
  <c r="AI41" i="1"/>
  <c r="D36" i="1"/>
  <c r="P20" i="1"/>
  <c r="V37" i="1"/>
  <c r="L42" i="1"/>
  <c r="P24" i="1"/>
  <c r="I34" i="1"/>
  <c r="U38" i="1"/>
  <c r="W41" i="1"/>
  <c r="Y44" i="1"/>
  <c r="AC20" i="1"/>
  <c r="AE31" i="1"/>
  <c r="X37" i="1"/>
  <c r="Z40" i="1"/>
  <c r="G23" i="1"/>
  <c r="K40" i="1"/>
  <c r="R45" i="1"/>
  <c r="AG47" i="1"/>
  <c r="AK49" i="1"/>
  <c r="AG51" i="1"/>
  <c r="AK53" i="1"/>
  <c r="Z33" i="1"/>
  <c r="L40" i="1"/>
  <c r="A45" i="1"/>
  <c r="Q47" i="1"/>
  <c r="N49" i="1"/>
  <c r="R51" i="1"/>
  <c r="V53" i="1"/>
  <c r="R55" i="1"/>
  <c r="P32" i="1"/>
  <c r="O40" i="1"/>
  <c r="AI44" i="1"/>
  <c r="I47" i="1"/>
  <c r="O49" i="1"/>
  <c r="K51" i="1"/>
  <c r="O53" i="1"/>
  <c r="AP27" i="1"/>
  <c r="P38" i="1"/>
  <c r="AJ43" i="1"/>
  <c r="Y46" i="1"/>
  <c r="Z48" i="1"/>
  <c r="AD50" i="1"/>
  <c r="AA21" i="1"/>
  <c r="AM36" i="1"/>
  <c r="W42" i="1"/>
  <c r="AO45" i="1"/>
  <c r="C48" i="1"/>
  <c r="G50" i="1"/>
  <c r="AK51" i="1"/>
  <c r="Q53" i="1"/>
  <c r="AM54" i="1"/>
  <c r="AC24" i="1"/>
  <c r="W36" i="1"/>
  <c r="AA40" i="1"/>
  <c r="O44" i="1"/>
  <c r="J46" i="1"/>
  <c r="AM47" i="1"/>
  <c r="S49" i="1"/>
  <c r="AO50" i="1"/>
  <c r="U52" i="1"/>
  <c r="AP49" i="1"/>
  <c r="AF53" i="1"/>
  <c r="X30" i="1"/>
  <c r="AM46" i="1"/>
  <c r="AP52" i="1"/>
  <c r="AE55" i="1"/>
  <c r="F58" i="1"/>
  <c r="AI54" i="1"/>
  <c r="X24" i="1"/>
  <c r="I46" i="1"/>
  <c r="T52" i="1"/>
  <c r="V55" i="1"/>
  <c r="I57" i="1"/>
  <c r="AE58" i="1"/>
  <c r="K60" i="1"/>
  <c r="AG61" i="1"/>
  <c r="F59" i="1"/>
  <c r="J61" i="1"/>
  <c r="E43" i="1"/>
  <c r="AB53" i="1"/>
  <c r="B22" i="1"/>
  <c r="G36" i="1"/>
  <c r="AO30" i="1"/>
  <c r="AB34" i="1"/>
  <c r="X20" i="1"/>
  <c r="W37" i="1"/>
  <c r="AA43" i="1"/>
  <c r="C29" i="1"/>
  <c r="AB39" i="1"/>
  <c r="AC37" i="1"/>
  <c r="AN46" i="1"/>
  <c r="A51" i="1"/>
  <c r="Z27" i="1"/>
  <c r="B34" i="1"/>
  <c r="T34" i="1"/>
  <c r="AB37" i="1"/>
  <c r="T38" i="1"/>
  <c r="AB26" i="1"/>
  <c r="C39" i="1"/>
  <c r="G45" i="1"/>
  <c r="K33" i="1"/>
  <c r="H41" i="1"/>
  <c r="AG41" i="1"/>
  <c r="AO47" i="1"/>
  <c r="G52" i="1"/>
  <c r="AN34" i="1"/>
  <c r="J45" i="1"/>
  <c r="AD49" i="1"/>
  <c r="AD53" i="1"/>
  <c r="AI33" i="1"/>
  <c r="K45" i="1"/>
  <c r="W49" i="1"/>
  <c r="W53" i="1"/>
  <c r="Q39" i="1"/>
  <c r="AH46" i="1"/>
  <c r="AL50" i="1"/>
  <c r="AO37" i="1"/>
  <c r="H46" i="1"/>
  <c r="O50" i="1"/>
  <c r="Y53" i="1"/>
  <c r="AJ26" i="1"/>
  <c r="E41" i="1"/>
  <c r="S46" i="1"/>
  <c r="AA49" i="1"/>
  <c r="AC52" i="1"/>
  <c r="Y55" i="1"/>
  <c r="AF47" i="1"/>
  <c r="AO55" i="1"/>
  <c r="E56" i="1"/>
  <c r="D47" i="1"/>
  <c r="AF55" i="1"/>
  <c r="AM58" i="1"/>
  <c r="AO61" i="1"/>
  <c r="R61" i="1"/>
  <c r="V54" i="1"/>
  <c r="I58" i="1"/>
  <c r="C61" i="1"/>
  <c r="J53" i="1"/>
  <c r="AN24" i="1"/>
  <c r="K46" i="1"/>
  <c r="V52" i="1"/>
  <c r="W55" i="1"/>
  <c r="R57" i="1"/>
  <c r="AK32" i="1"/>
  <c r="N55" i="1"/>
  <c r="AG58" i="1"/>
  <c r="T46" i="1"/>
  <c r="U37" i="1"/>
  <c r="L48" i="1"/>
  <c r="AH53" i="1"/>
  <c r="F56" i="1"/>
  <c r="AC57" i="1"/>
  <c r="I59" i="1"/>
  <c r="AE60" i="1"/>
  <c r="O57" i="1"/>
  <c r="O61" i="1"/>
  <c r="AP60" i="1"/>
  <c r="F29" i="1"/>
  <c r="AD46" i="1"/>
  <c r="AJ52" i="1"/>
  <c r="AB55" i="1"/>
  <c r="N57" i="1"/>
  <c r="AJ58" i="1"/>
  <c r="P60" i="1"/>
  <c r="AL61" i="1"/>
  <c r="E45" i="1"/>
  <c r="L52" i="1"/>
  <c r="S55" i="1"/>
  <c r="W57" i="1"/>
  <c r="I60" i="1"/>
  <c r="AD58" i="1"/>
  <c r="F48" i="1"/>
  <c r="AD60" i="1"/>
  <c r="Z36" i="1"/>
  <c r="X35" i="1"/>
  <c r="V35" i="1"/>
  <c r="AP38" i="1"/>
  <c r="B39" i="1"/>
  <c r="H28" i="1"/>
  <c r="S39" i="1"/>
  <c r="W45" i="1"/>
  <c r="L34" i="1"/>
  <c r="X41" i="1"/>
  <c r="AF42" i="1"/>
  <c r="O48" i="1"/>
  <c r="O52" i="1"/>
  <c r="K36" i="1"/>
  <c r="AB45" i="1"/>
  <c r="AL49" i="1"/>
  <c r="AL53" i="1"/>
  <c r="L36" i="1"/>
  <c r="T45" i="1"/>
  <c r="AE49" i="1"/>
  <c r="AM53" i="1"/>
  <c r="AL39" i="1"/>
  <c r="A47" i="1"/>
  <c r="L51" i="1"/>
  <c r="S38" i="1"/>
  <c r="Q46" i="1"/>
  <c r="AE50" i="1"/>
  <c r="AG53" i="1"/>
  <c r="AF28" i="1"/>
  <c r="Z41" i="1"/>
  <c r="AB46" i="1"/>
  <c r="AI49" i="1"/>
  <c r="AK52" i="1"/>
  <c r="L57" i="1"/>
  <c r="V48" i="1"/>
  <c r="J56" i="1"/>
  <c r="AL56" i="1"/>
  <c r="AL47" i="1"/>
  <c r="A56" i="1"/>
  <c r="E59" i="1"/>
  <c r="B57" i="1"/>
  <c r="AH61" i="1"/>
  <c r="C55" i="1"/>
  <c r="Y58" i="1"/>
  <c r="K61" i="1"/>
  <c r="O55" i="1"/>
  <c r="AL31" i="1"/>
  <c r="F47" i="1"/>
  <c r="D53" i="1"/>
  <c r="AG55" i="1"/>
  <c r="AH57" i="1"/>
  <c r="R46" i="1"/>
  <c r="AI55" i="1"/>
  <c r="G59" i="1"/>
  <c r="AN51" i="1"/>
  <c r="V39" i="1"/>
  <c r="B49" i="1"/>
  <c r="I54" i="1"/>
  <c r="O56" i="1"/>
  <c r="AK57" i="1"/>
  <c r="Q59" i="1"/>
  <c r="AM60" i="1"/>
  <c r="E58" i="1"/>
  <c r="AM61" i="1"/>
  <c r="AF61" i="1"/>
  <c r="Y34" i="1"/>
  <c r="X47" i="1"/>
  <c r="P53" i="1"/>
  <c r="AM55" i="1"/>
  <c r="V57" i="1"/>
  <c r="B59" i="1"/>
  <c r="X60" i="1"/>
  <c r="L22" i="1"/>
  <c r="AP45" i="1"/>
  <c r="AL52" i="1"/>
  <c r="AN55" i="1"/>
  <c r="AM57" i="1"/>
  <c r="Q60" i="1"/>
  <c r="T59" i="1"/>
  <c r="H51" i="1"/>
  <c r="T61" i="1"/>
  <c r="M58" i="1"/>
  <c r="B60" i="1"/>
  <c r="AF40" i="1"/>
  <c r="E49" i="1"/>
  <c r="K38" i="1"/>
  <c r="E21" i="1"/>
  <c r="S37" i="1"/>
  <c r="V40" i="1"/>
  <c r="AP39" i="1"/>
  <c r="H30" i="1"/>
  <c r="A40" i="1"/>
  <c r="E46" i="1"/>
  <c r="AH35" i="1"/>
  <c r="F42" i="1"/>
  <c r="C44" i="1"/>
  <c r="AE48" i="1"/>
  <c r="AM52" i="1"/>
  <c r="AG37" i="1"/>
  <c r="D46" i="1"/>
  <c r="T50" i="1"/>
  <c r="T54" i="1"/>
  <c r="M37" i="1"/>
  <c r="F46" i="1"/>
  <c r="M50" i="1"/>
  <c r="M54" i="1"/>
  <c r="R41" i="1"/>
  <c r="AB47" i="1"/>
  <c r="AB51" i="1"/>
  <c r="AO39" i="1"/>
  <c r="B47" i="1"/>
  <c r="E51" i="1"/>
  <c r="G54" i="1"/>
  <c r="AH31" i="1"/>
  <c r="AA42" i="1"/>
  <c r="E47" i="1"/>
  <c r="I50" i="1"/>
  <c r="K53" i="1"/>
  <c r="H59" i="1"/>
  <c r="B50" i="1"/>
  <c r="Z56" i="1"/>
  <c r="AP58" i="1"/>
  <c r="R49" i="1"/>
  <c r="S56" i="1"/>
  <c r="U59" i="1"/>
  <c r="AP57" i="1"/>
  <c r="T26" i="1"/>
  <c r="D56" i="1"/>
  <c r="AO58" i="1"/>
  <c r="AA61" i="1"/>
  <c r="N56" i="1"/>
  <c r="AA36" i="1"/>
  <c r="AN47" i="1"/>
  <c r="Z53" i="1"/>
  <c r="B56" i="1"/>
  <c r="P58" i="1"/>
  <c r="AJ48" i="1"/>
  <c r="U56" i="1"/>
  <c r="W59" i="1"/>
  <c r="D55" i="1"/>
  <c r="Y41" i="1"/>
  <c r="AH49" i="1"/>
  <c r="Y54" i="1"/>
  <c r="W56" i="1"/>
  <c r="C58" i="1"/>
  <c r="Y59" i="1"/>
  <c r="E61" i="1"/>
  <c r="AC58" i="1"/>
  <c r="AP56" i="1"/>
  <c r="I41" i="1"/>
  <c r="Z37" i="1"/>
  <c r="N48" i="1"/>
  <c r="AJ53" i="1"/>
  <c r="G56" i="1"/>
  <c r="AD57" i="1"/>
  <c r="J59" i="1"/>
  <c r="AF60" i="1"/>
  <c r="L30" i="1"/>
  <c r="AJ46" i="1"/>
  <c r="R53" i="1"/>
  <c r="I56" i="1"/>
  <c r="AG60" i="1"/>
  <c r="H54" i="1"/>
  <c r="M23" i="1"/>
  <c r="AO23" i="1"/>
  <c r="AO38" i="1"/>
  <c r="B42" i="1"/>
  <c r="AD31" i="1"/>
  <c r="Y40" i="1"/>
  <c r="AC46" i="1"/>
  <c r="S44" i="1"/>
  <c r="E53" i="1"/>
  <c r="U35" i="1"/>
  <c r="C30" i="1"/>
  <c r="O43" i="1"/>
  <c r="W23" i="1"/>
  <c r="B43" i="1"/>
  <c r="AE35" i="1"/>
  <c r="E42" i="1"/>
  <c r="AO22" i="1"/>
  <c r="F38" i="1"/>
  <c r="K29" i="1"/>
  <c r="AJ45" i="1"/>
  <c r="C50" i="1"/>
  <c r="C54" i="1"/>
  <c r="M41" i="1"/>
  <c r="Z47" i="1"/>
  <c r="Z51" i="1"/>
  <c r="AH55" i="1"/>
  <c r="AJ40" i="1"/>
  <c r="R47" i="1"/>
  <c r="AA51" i="1"/>
  <c r="AI29" i="1"/>
  <c r="J44" i="1"/>
  <c r="AP48" i="1"/>
  <c r="H24" i="1"/>
  <c r="A43" i="1"/>
  <c r="S48" i="1"/>
  <c r="C52" i="1"/>
  <c r="E55" i="1"/>
  <c r="B37" i="1"/>
  <c r="AB44" i="1"/>
  <c r="E48" i="1"/>
  <c r="G51" i="1"/>
  <c r="AE57" i="1"/>
  <c r="AM35" i="1"/>
  <c r="T53" i="1"/>
  <c r="AL58" i="1"/>
  <c r="W31" i="1"/>
  <c r="B53" i="1"/>
  <c r="Q57" i="1"/>
  <c r="S60" i="1"/>
  <c r="N59" i="1"/>
  <c r="AA44" i="1"/>
  <c r="AC56" i="1"/>
  <c r="AE59" i="1"/>
  <c r="N33" i="1"/>
  <c r="R58" i="1"/>
  <c r="AB40" i="1"/>
  <c r="T49" i="1"/>
  <c r="R54" i="1"/>
  <c r="T56" i="1"/>
  <c r="V59" i="1"/>
  <c r="AL51" i="1"/>
  <c r="K57" i="1"/>
  <c r="M60" i="1"/>
  <c r="B58" i="1"/>
  <c r="AL44" i="1"/>
  <c r="P22" i="1"/>
  <c r="Y31" i="1"/>
  <c r="AC44" i="1"/>
  <c r="C25" i="1"/>
  <c r="R43" i="1"/>
  <c r="Q36" i="1"/>
  <c r="U42" i="1"/>
  <c r="U24" i="1"/>
  <c r="V38" i="1"/>
  <c r="D32" i="1"/>
  <c r="C46" i="1"/>
  <c r="K50" i="1"/>
  <c r="S54" i="1"/>
  <c r="AH41" i="1"/>
  <c r="AH47" i="1"/>
  <c r="AP51" i="1"/>
  <c r="AP55" i="1"/>
  <c r="Q41" i="1"/>
  <c r="AI47" i="1"/>
  <c r="AI51" i="1"/>
  <c r="N31" i="1"/>
  <c r="AJ44" i="1"/>
  <c r="H49" i="1"/>
  <c r="I26" i="1"/>
  <c r="AK43" i="1"/>
  <c r="AA48" i="1"/>
  <c r="K52" i="1"/>
  <c r="M55" i="1"/>
  <c r="Y37" i="1"/>
  <c r="AM44" i="1"/>
  <c r="M48" i="1"/>
  <c r="O51" i="1"/>
  <c r="AE61" i="1"/>
  <c r="G38" i="1"/>
  <c r="AP53" i="1"/>
  <c r="AB59" i="1"/>
  <c r="T36" i="1"/>
  <c r="X53" i="1"/>
  <c r="Y57" i="1"/>
  <c r="AA60" i="1"/>
  <c r="AD59" i="1"/>
  <c r="X45" i="1"/>
  <c r="C57" i="1"/>
  <c r="E60" i="1"/>
  <c r="Z45" i="1"/>
  <c r="P59" i="1"/>
  <c r="AE42" i="1"/>
  <c r="J50" i="1"/>
  <c r="AG54" i="1"/>
  <c r="AB56" i="1"/>
  <c r="D60" i="1"/>
  <c r="H53" i="1"/>
  <c r="AA57" i="1"/>
  <c r="AK60" i="1"/>
  <c r="AN59" i="1"/>
  <c r="AG45" i="1"/>
  <c r="D52" i="1"/>
  <c r="P55" i="1"/>
  <c r="E57" i="1"/>
  <c r="AA58" i="1"/>
  <c r="G60" i="1"/>
  <c r="AC61" i="1"/>
  <c r="A60" i="1"/>
  <c r="D59" i="1"/>
  <c r="AH58" i="1"/>
  <c r="AB43" i="1"/>
  <c r="Z50" i="1"/>
  <c r="AL54" i="1"/>
  <c r="AF56" i="1"/>
  <c r="L58" i="1"/>
  <c r="AH59" i="1"/>
  <c r="N61" i="1"/>
  <c r="C40" i="1"/>
  <c r="J49" i="1"/>
  <c r="AA54" i="1"/>
  <c r="AG56" i="1"/>
  <c r="K59" i="1"/>
  <c r="AH56" i="1"/>
  <c r="AN61" i="1"/>
  <c r="AB57" i="1"/>
  <c r="AP43" i="1"/>
  <c r="AI50" i="1"/>
  <c r="P52" i="1"/>
  <c r="O46" i="1"/>
  <c r="O36" i="1"/>
  <c r="O31" i="1"/>
  <c r="M51" i="1"/>
  <c r="E39" i="1"/>
  <c r="AE51" i="1"/>
  <c r="AH50" i="1"/>
  <c r="X42" i="1"/>
  <c r="A61" i="1"/>
  <c r="M56" i="1"/>
  <c r="R50" i="1"/>
  <c r="AP50" i="1"/>
  <c r="AN58" i="1"/>
  <c r="Q58" i="1"/>
  <c r="AA46" i="1"/>
  <c r="AA55" i="1"/>
  <c r="AI58" i="1"/>
  <c r="AK61" i="1"/>
  <c r="AJ59" i="1"/>
  <c r="AN44" i="1"/>
  <c r="G55" i="1"/>
  <c r="T58" i="1"/>
  <c r="V61" i="1"/>
  <c r="AF50" i="1"/>
  <c r="AO56" i="1"/>
  <c r="AF57" i="1"/>
  <c r="Z58" i="1"/>
  <c r="R23" i="1"/>
  <c r="AA52" i="1"/>
  <c r="AM51" i="1"/>
  <c r="H50" i="1"/>
  <c r="S57" i="1"/>
  <c r="T57" i="1"/>
  <c r="AJ60" i="1"/>
  <c r="V47" i="1"/>
  <c r="AL55" i="1"/>
  <c r="AD55" i="1"/>
  <c r="R60" i="1"/>
  <c r="Q55" i="1"/>
  <c r="AB58" i="1"/>
  <c r="AD61" i="1"/>
  <c r="G57" i="1"/>
  <c r="N58" i="1"/>
  <c r="AE46" i="1"/>
  <c r="Z49" i="1"/>
  <c r="S58" i="1"/>
  <c r="Y56" i="1"/>
  <c r="AO36" i="1"/>
  <c r="AF52" i="1"/>
  <c r="I48" i="1"/>
  <c r="AO41" i="1"/>
  <c r="AJ32" i="1"/>
  <c r="F43" i="1"/>
  <c r="AD54" i="1"/>
  <c r="I61" i="1"/>
  <c r="AF51" i="1"/>
  <c r="AM59" i="1"/>
  <c r="A59" i="1"/>
  <c r="AI45" i="1"/>
  <c r="V51" i="1"/>
  <c r="X59" i="1"/>
  <c r="Q50" i="1"/>
  <c r="V58" i="1"/>
  <c r="C43" i="1"/>
  <c r="N43" i="1"/>
  <c r="AB54" i="1"/>
  <c r="Y48" i="1"/>
  <c r="L45" i="1"/>
  <c r="T40" i="1"/>
  <c r="AI52" i="1"/>
  <c r="P45" i="1"/>
  <c r="S53" i="1"/>
  <c r="AO54" i="1"/>
  <c r="Q54" i="1"/>
  <c r="H58" i="1"/>
  <c r="AI57" i="1"/>
  <c r="V60" i="1"/>
  <c r="B54" i="1"/>
  <c r="Z61" i="1"/>
  <c r="S61" i="1"/>
  <c r="X50" i="1"/>
  <c r="AE56" i="1"/>
  <c r="AG59" i="1"/>
  <c r="C59" i="1"/>
  <c r="X54" i="1"/>
  <c r="D49" i="1"/>
  <c r="P56" i="1"/>
  <c r="R59" i="1"/>
  <c r="Z35" i="1"/>
  <c r="AN53" i="1"/>
  <c r="U58" i="1"/>
  <c r="Z60" i="1"/>
  <c r="AD43" i="1"/>
  <c r="L60" i="1"/>
  <c r="AO26" i="1"/>
  <c r="AO59" i="1"/>
  <c r="D57" i="1"/>
  <c r="X56" i="1"/>
  <c r="Z59" i="1"/>
  <c r="N54" i="1"/>
  <c r="AK58" i="1"/>
  <c r="Y52" i="1"/>
  <c r="AH54" i="1"/>
  <c r="L61" i="1"/>
  <c r="H55" i="1"/>
  <c r="Y30" i="1"/>
  <c r="X38" i="1"/>
  <c r="O47" i="1"/>
  <c r="V43" i="1"/>
  <c r="Z54" i="1"/>
  <c r="W61" i="1"/>
  <c r="AG26" i="1"/>
  <c r="AH23" i="1"/>
  <c r="U50" i="1"/>
  <c r="AD45" i="1"/>
  <c r="Z44" i="1"/>
  <c r="O54" i="1"/>
  <c r="Y45" i="1"/>
  <c r="J60" i="1"/>
  <c r="H57" i="1"/>
  <c r="AF54" i="1"/>
  <c r="O59" i="1"/>
  <c r="AJ61" i="1"/>
  <c r="A55" i="1"/>
  <c r="P50" i="1"/>
  <c r="N51" i="1"/>
  <c r="AM56" i="1"/>
  <c r="AA59" i="1"/>
  <c r="AJ49" i="1"/>
  <c r="AP37" i="1"/>
  <c r="H61" i="1"/>
  <c r="P48" i="1"/>
  <c r="AK55" i="1"/>
  <c r="I43" i="1"/>
  <c r="A37" i="1"/>
  <c r="L56" i="1"/>
  <c r="U57" i="1"/>
  <c r="AO60" i="1"/>
  <c r="F52" i="1"/>
  <c r="AL43" i="1"/>
  <c r="AE44" i="1"/>
  <c r="O35" i="1"/>
  <c r="AD48" i="1"/>
  <c r="U61" i="1"/>
  <c r="T48" i="1"/>
  <c r="AN26" i="1"/>
  <c r="D39" i="1"/>
  <c r="W46" i="1"/>
  <c r="AD25" i="1"/>
  <c r="Q52" i="1"/>
  <c r="AJ47" i="1"/>
  <c r="D45" i="1"/>
  <c r="AC55" i="1"/>
  <c r="N47" i="1"/>
  <c r="P61" i="1"/>
  <c r="X61" i="1"/>
  <c r="AA56" i="1"/>
  <c r="T60" i="1"/>
  <c r="U60" i="1"/>
  <c r="AA38" i="1"/>
  <c r="L55" i="1"/>
  <c r="F54" i="1"/>
  <c r="V56" i="1"/>
  <c r="AH52" i="1"/>
  <c r="M57" i="1"/>
  <c r="O60" i="1"/>
  <c r="Y60" i="1"/>
  <c r="F60" i="1"/>
  <c r="P51" i="1"/>
  <c r="AN56" i="1"/>
  <c r="AP59" i="1"/>
  <c r="C42" i="1"/>
  <c r="AN54" i="1"/>
  <c r="S59" i="1"/>
  <c r="E37" i="1"/>
  <c r="AD42" i="1"/>
  <c r="AC48" i="1"/>
  <c r="AO57" i="1"/>
  <c r="R44" i="1"/>
  <c r="U28" i="1"/>
  <c r="W60" i="1"/>
  <c r="F57" i="1"/>
  <c r="AI59" i="1"/>
  <c r="Q43" i="1"/>
  <c r="Q49" i="1"/>
  <c r="AC59" i="1"/>
  <c r="A58" i="1"/>
  <c r="AC41" i="1"/>
  <c r="AD56" i="1"/>
  <c r="M33" i="1"/>
  <c r="O38" i="1"/>
  <c r="AF49" i="1"/>
  <c r="L47" i="1"/>
  <c r="N60" i="1"/>
  <c r="AC60" i="1"/>
  <c r="L53" i="1"/>
  <c r="H60" i="1"/>
  <c r="B44" i="1"/>
  <c r="D58" i="1"/>
  <c r="AA25" i="1"/>
  <c r="E36" i="1"/>
  <c r="X48" i="1"/>
  <c r="AM42" i="1"/>
  <c r="AC54" i="1"/>
  <c r="AN49" i="1"/>
  <c r="I49" i="1"/>
  <c r="C33" i="1"/>
  <c r="AK48" i="1"/>
  <c r="H42" i="1"/>
  <c r="AF59" i="1"/>
  <c r="G58" i="1"/>
  <c r="D48" i="1"/>
  <c r="AI61" i="1"/>
  <c r="Q45" i="1"/>
  <c r="AJ56" i="1"/>
  <c r="AK56" i="1"/>
  <c r="P34" i="1"/>
  <c r="AK54" i="1"/>
  <c r="K58" i="1"/>
  <c r="M61" i="1"/>
  <c r="AN57" i="1"/>
  <c r="AC39" i="1"/>
  <c r="J54" i="1"/>
  <c r="AL57" i="1"/>
  <c r="AN60" i="1"/>
  <c r="AD47" i="1"/>
  <c r="Q56" i="1"/>
  <c r="G61" i="1"/>
  <c r="AJ55" i="1"/>
  <c r="AB50" i="1"/>
  <c r="B52" i="1"/>
  <c r="W40" i="1"/>
  <c r="J57" i="1"/>
  <c r="F55" i="1"/>
  <c r="F61" i="1"/>
</calcChain>
</file>

<file path=xl/sharedStrings.xml><?xml version="1.0" encoding="utf-8"?>
<sst xmlns="http://schemas.openxmlformats.org/spreadsheetml/2006/main" count="24" uniqueCount="23">
  <si>
    <t>exercise price</t>
    <phoneticPr fontId="1" type="noConversion"/>
  </si>
  <si>
    <t>dividend yield</t>
    <phoneticPr fontId="1" type="noConversion"/>
  </si>
  <si>
    <t>time now</t>
    <phoneticPr fontId="1" type="noConversion"/>
  </si>
  <si>
    <t>time maturity</t>
    <phoneticPr fontId="1" type="noConversion"/>
  </si>
  <si>
    <t>option life</t>
    <phoneticPr fontId="1" type="noConversion"/>
  </si>
  <si>
    <t>volatility</t>
    <phoneticPr fontId="1" type="noConversion"/>
  </si>
  <si>
    <t>nstep</t>
    <phoneticPr fontId="1" type="noConversion"/>
  </si>
  <si>
    <t>interst rate</t>
    <phoneticPr fontId="1" type="noConversion"/>
  </si>
  <si>
    <t>票價call</t>
    <phoneticPr fontId="1" type="noConversion"/>
  </si>
  <si>
    <t>規則</t>
    <phoneticPr fontId="1" type="noConversion"/>
  </si>
  <si>
    <t>K+</t>
    <phoneticPr fontId="1" type="noConversion"/>
  </si>
  <si>
    <t>總勝&gt;20</t>
    <phoneticPr fontId="1" type="noConversion"/>
  </si>
  <si>
    <t>周末</t>
    <phoneticPr fontId="1" type="noConversion"/>
  </si>
  <si>
    <t>St+</t>
    <phoneticPr fontId="1" type="noConversion"/>
  </si>
  <si>
    <t>Pu=上個賽季勝率</t>
    <phoneticPr fontId="1" type="noConversion"/>
  </si>
  <si>
    <t>u=歷史二手票價漲幅/n</t>
    <phoneticPr fontId="1" type="noConversion"/>
  </si>
  <si>
    <t>Pu</t>
    <phoneticPr fontId="1" type="noConversion"/>
  </si>
  <si>
    <t>uu</t>
    <phoneticPr fontId="1" type="noConversion"/>
  </si>
  <si>
    <t>dd</t>
    <phoneticPr fontId="1" type="noConversion"/>
  </si>
  <si>
    <t>Pd</t>
    <phoneticPr fontId="1" type="noConversion"/>
  </si>
  <si>
    <t>initial price($)</t>
    <phoneticPr fontId="1" type="noConversion"/>
  </si>
  <si>
    <t>受傷</t>
    <phoneticPr fontId="1" type="noConversion"/>
  </si>
  <si>
    <t>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</si>
</sst>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P106"/>
  <sheetViews>
    <sheetView tabSelected="1" workbookViewId="0">
      <selection activeCell="E12" sqref="E12"/>
    </sheetView>
  </sheetViews>
  <sheetFormatPr defaultRowHeight="16.2" x14ac:dyDescent="0.3"/>
  <cols>
    <col min="1" max="1" width="13.33203125" bestFit="1" customWidth="1"/>
    <col min="2" max="4" width="10.33203125" bestFit="1" customWidth="1"/>
    <col min="5" max="5" width="10.5546875" bestFit="1" customWidth="1"/>
    <col min="6" max="42" width="10.33203125" bestFit="1" customWidth="1"/>
  </cols>
  <sheetData>
    <row r="1" spans="1:6" x14ac:dyDescent="0.3">
      <c r="A1" t="s">
        <v>8</v>
      </c>
      <c r="D1" t="s">
        <v>9</v>
      </c>
    </row>
    <row r="2" spans="1:6" x14ac:dyDescent="0.3">
      <c r="D2">
        <v>1</v>
      </c>
      <c r="E2" t="s">
        <v>21</v>
      </c>
      <c r="F2" t="s">
        <v>10</v>
      </c>
    </row>
    <row r="3" spans="1:6" x14ac:dyDescent="0.3">
      <c r="D3">
        <v>2</v>
      </c>
      <c r="E3" t="s">
        <v>11</v>
      </c>
      <c r="F3" t="s">
        <v>10</v>
      </c>
    </row>
    <row r="4" spans="1:6" x14ac:dyDescent="0.3">
      <c r="A4" s="2" t="s">
        <v>20</v>
      </c>
      <c r="B4" s="2">
        <v>60</v>
      </c>
      <c r="D4">
        <v>3</v>
      </c>
      <c r="E4" t="s">
        <v>12</v>
      </c>
      <c r="F4" t="s">
        <v>13</v>
      </c>
    </row>
    <row r="5" spans="1:6" x14ac:dyDescent="0.3">
      <c r="A5" s="2" t="s">
        <v>0</v>
      </c>
      <c r="B5" s="2">
        <v>90</v>
      </c>
      <c r="D5">
        <v>4</v>
      </c>
      <c r="E5" t="s">
        <v>14</v>
      </c>
    </row>
    <row r="6" spans="1:6" x14ac:dyDescent="0.3">
      <c r="A6" s="2" t="s">
        <v>7</v>
      </c>
      <c r="B6" s="2">
        <v>0.02</v>
      </c>
      <c r="D6">
        <v>5</v>
      </c>
      <c r="E6" t="s">
        <v>15</v>
      </c>
    </row>
    <row r="7" spans="1:6" x14ac:dyDescent="0.3">
      <c r="A7" s="2"/>
      <c r="B7" s="2"/>
    </row>
    <row r="8" spans="1:6" x14ac:dyDescent="0.3">
      <c r="A8" s="2" t="s">
        <v>1</v>
      </c>
      <c r="B8" s="2">
        <v>0</v>
      </c>
    </row>
    <row r="9" spans="1:6" x14ac:dyDescent="0.3">
      <c r="A9" s="2" t="s">
        <v>2</v>
      </c>
      <c r="B9" s="2">
        <v>0</v>
      </c>
    </row>
    <row r="10" spans="1:6" x14ac:dyDescent="0.3">
      <c r="A10" s="2" t="s">
        <v>3</v>
      </c>
      <c r="B10" s="2">
        <v>1</v>
      </c>
    </row>
    <row r="11" spans="1:6" x14ac:dyDescent="0.3">
      <c r="A11" s="2" t="s">
        <v>4</v>
      </c>
      <c r="B11" s="2">
        <v>1</v>
      </c>
    </row>
    <row r="12" spans="1:6" x14ac:dyDescent="0.3">
      <c r="A12" s="2" t="s">
        <v>5</v>
      </c>
      <c r="B12" s="2">
        <v>0.4</v>
      </c>
    </row>
    <row r="13" spans="1:6" x14ac:dyDescent="0.3">
      <c r="A13" s="2" t="s">
        <v>6</v>
      </c>
      <c r="B13" s="2">
        <v>41</v>
      </c>
      <c r="F13">
        <f>(250/60)^(1/40)</f>
        <v>1.0363220026266362</v>
      </c>
    </row>
    <row r="14" spans="1:6" x14ac:dyDescent="0.3">
      <c r="A14" s="3" t="s">
        <v>16</v>
      </c>
      <c r="B14" s="2">
        <f>28/41</f>
        <v>0.68292682926829273</v>
      </c>
    </row>
    <row r="15" spans="1:6" x14ac:dyDescent="0.3">
      <c r="A15" s="3" t="s">
        <v>19</v>
      </c>
      <c r="B15" s="2">
        <f>1-B14</f>
        <v>0.31707317073170727</v>
      </c>
    </row>
    <row r="16" spans="1:6" x14ac:dyDescent="0.3">
      <c r="A16" s="3" t="s">
        <v>17</v>
      </c>
      <c r="B16" s="2">
        <f>(250/60)^(1/40)</f>
        <v>1.0363220026266362</v>
      </c>
    </row>
    <row r="17" spans="1:42" x14ac:dyDescent="0.3">
      <c r="A17" s="3" t="s">
        <v>18</v>
      </c>
      <c r="B17" s="2">
        <f>1/B16</f>
        <v>0.96495104558759215</v>
      </c>
      <c r="D17" s="1" t="s">
        <v>22</v>
      </c>
      <c r="E17">
        <f>TicketBinOptionValue(1,1,2,B4,B5,B6,B8,B10,B12,B13,B14,B15,B16,B17)</f>
        <v>9.7963969909320294</v>
      </c>
    </row>
    <row r="20" spans="1:42" x14ac:dyDescent="0.3">
      <c r="A20" s="2" t="str">
        <f t="array" ref="A20:AP61">TicketBinTree(1,1,2,B4,B5,B6,B8,B11,B12,B13,B14,B15,B16,B17)</f>
        <v/>
      </c>
      <c r="B20" s="2" t="str">
        <v/>
      </c>
      <c r="C20" s="2" t="str">
        <v/>
      </c>
      <c r="D20" s="2" t="str">
        <v/>
      </c>
      <c r="E20" s="2" t="str">
        <v/>
      </c>
      <c r="F20" s="2" t="str">
        <v/>
      </c>
      <c r="G20" s="2" t="str">
        <v/>
      </c>
      <c r="H20" s="2" t="str">
        <v/>
      </c>
      <c r="I20" s="2" t="str">
        <v/>
      </c>
      <c r="J20" s="2" t="str">
        <v/>
      </c>
      <c r="K20" s="2" t="str">
        <v/>
      </c>
      <c r="L20" s="2" t="str">
        <v/>
      </c>
      <c r="M20" s="2" t="str">
        <v/>
      </c>
      <c r="N20" s="2" t="str">
        <v/>
      </c>
      <c r="O20" s="2" t="str">
        <v/>
      </c>
      <c r="P20" s="2" t="str">
        <v/>
      </c>
      <c r="Q20" s="2" t="str">
        <v/>
      </c>
      <c r="R20" s="2" t="str">
        <v/>
      </c>
      <c r="S20" s="2" t="str">
        <v/>
      </c>
      <c r="T20" s="2" t="str">
        <v/>
      </c>
      <c r="U20" s="2" t="str">
        <v/>
      </c>
      <c r="V20" s="2" t="str">
        <v/>
      </c>
      <c r="W20" s="2" t="str">
        <v/>
      </c>
      <c r="X20" s="2" t="str">
        <v/>
      </c>
      <c r="Y20" s="2" t="str">
        <v/>
      </c>
      <c r="Z20" s="2" t="str">
        <v/>
      </c>
      <c r="AA20" s="2" t="str">
        <v/>
      </c>
      <c r="AB20" s="2" t="str">
        <v/>
      </c>
      <c r="AC20" s="2" t="str">
        <v/>
      </c>
      <c r="AD20" s="2" t="str">
        <v/>
      </c>
      <c r="AE20" s="2" t="str">
        <v/>
      </c>
      <c r="AF20" s="2" t="str">
        <v/>
      </c>
      <c r="AG20" s="2" t="str">
        <v/>
      </c>
      <c r="AH20" s="2" t="str">
        <v/>
      </c>
      <c r="AI20" s="2" t="str">
        <v/>
      </c>
      <c r="AJ20" s="2" t="str">
        <v/>
      </c>
      <c r="AK20" s="2" t="str">
        <v/>
      </c>
      <c r="AL20" s="2" t="str">
        <v/>
      </c>
      <c r="AM20" s="2" t="str">
        <v/>
      </c>
      <c r="AN20" s="2" t="str">
        <v/>
      </c>
      <c r="AO20" s="2" t="str">
        <v/>
      </c>
      <c r="AP20" s="2">
        <v>144.73912318620768</v>
      </c>
    </row>
    <row r="21" spans="1:42" x14ac:dyDescent="0.3">
      <c r="A21" s="2" t="str">
        <v/>
      </c>
      <c r="B21" s="2" t="str">
        <v/>
      </c>
      <c r="C21" s="2" t="str">
        <v/>
      </c>
      <c r="D21" s="2" t="str">
        <v/>
      </c>
      <c r="E21" s="2" t="str">
        <v/>
      </c>
      <c r="F21" s="2" t="str">
        <v/>
      </c>
      <c r="G21" s="2" t="str">
        <v/>
      </c>
      <c r="H21" s="2" t="str">
        <v/>
      </c>
      <c r="I21" s="2" t="str">
        <v/>
      </c>
      <c r="J21" s="2" t="str">
        <v/>
      </c>
      <c r="K21" s="2" t="str">
        <v/>
      </c>
      <c r="L21" s="2" t="str">
        <v/>
      </c>
      <c r="M21" s="2" t="str">
        <v/>
      </c>
      <c r="N21" s="2" t="str">
        <v/>
      </c>
      <c r="O21" s="2" t="str">
        <v/>
      </c>
      <c r="P21" s="2" t="str">
        <v/>
      </c>
      <c r="Q21" s="2" t="str">
        <v/>
      </c>
      <c r="R21" s="2" t="str">
        <v/>
      </c>
      <c r="S21" s="2" t="str">
        <v/>
      </c>
      <c r="T21" s="2" t="str">
        <v/>
      </c>
      <c r="U21" s="2" t="str">
        <v/>
      </c>
      <c r="V21" s="2" t="str">
        <v/>
      </c>
      <c r="W21" s="2" t="str">
        <v/>
      </c>
      <c r="X21" s="2" t="str">
        <v/>
      </c>
      <c r="Y21" s="2" t="str">
        <v/>
      </c>
      <c r="Z21" s="2" t="str">
        <v/>
      </c>
      <c r="AA21" s="2" t="str">
        <v/>
      </c>
      <c r="AB21" s="2" t="str">
        <v/>
      </c>
      <c r="AC21" s="2" t="str">
        <v/>
      </c>
      <c r="AD21" s="2" t="str">
        <v/>
      </c>
      <c r="AE21" s="2" t="str">
        <v/>
      </c>
      <c r="AF21" s="2" t="str">
        <v/>
      </c>
      <c r="AG21" s="2" t="str">
        <v/>
      </c>
      <c r="AH21" s="2" t="str">
        <v/>
      </c>
      <c r="AI21" s="2" t="str">
        <v/>
      </c>
      <c r="AJ21" s="2" t="str">
        <v/>
      </c>
      <c r="AK21" s="2" t="str">
        <v/>
      </c>
      <c r="AL21" s="2" t="str">
        <v/>
      </c>
      <c r="AM21" s="2" t="str">
        <v/>
      </c>
      <c r="AN21" s="2" t="str">
        <v/>
      </c>
      <c r="AO21" s="2">
        <v>144.24999999999898</v>
      </c>
      <c r="AP21" s="2">
        <v>135.09346065975745</v>
      </c>
    </row>
    <row r="22" spans="1:42" x14ac:dyDescent="0.3">
      <c r="A22" s="2" t="str">
        <v/>
      </c>
      <c r="B22" s="2" t="str">
        <v/>
      </c>
      <c r="C22" s="2" t="str">
        <v/>
      </c>
      <c r="D22" s="2" t="str">
        <v/>
      </c>
      <c r="E22" s="2" t="str">
        <v/>
      </c>
      <c r="F22" s="2" t="str">
        <v/>
      </c>
      <c r="G22" s="2" t="str">
        <v/>
      </c>
      <c r="H22" s="2" t="str">
        <v/>
      </c>
      <c r="I22" s="2" t="str">
        <v/>
      </c>
      <c r="J22" s="2" t="str">
        <v/>
      </c>
      <c r="K22" s="2" t="str">
        <v/>
      </c>
      <c r="L22" s="2" t="str">
        <v/>
      </c>
      <c r="M22" s="2" t="str">
        <v/>
      </c>
      <c r="N22" s="2" t="str">
        <v/>
      </c>
      <c r="O22" s="2" t="str">
        <v/>
      </c>
      <c r="P22" s="2" t="str">
        <v/>
      </c>
      <c r="Q22" s="2" t="str">
        <v/>
      </c>
      <c r="R22" s="2" t="str">
        <v/>
      </c>
      <c r="S22" s="2" t="str">
        <v/>
      </c>
      <c r="T22" s="2" t="str">
        <v/>
      </c>
      <c r="U22" s="2" t="str">
        <v/>
      </c>
      <c r="V22" s="2" t="str">
        <v/>
      </c>
      <c r="W22" s="2" t="str">
        <v/>
      </c>
      <c r="X22" s="2" t="str">
        <v/>
      </c>
      <c r="Y22" s="2" t="str">
        <v/>
      </c>
      <c r="Z22" s="2" t="str">
        <v/>
      </c>
      <c r="AA22" s="2" t="str">
        <v/>
      </c>
      <c r="AB22" s="2" t="str">
        <v/>
      </c>
      <c r="AC22" s="2" t="str">
        <v/>
      </c>
      <c r="AD22" s="2" t="str">
        <v/>
      </c>
      <c r="AE22" s="2" t="str">
        <v/>
      </c>
      <c r="AF22" s="2" t="str">
        <v/>
      </c>
      <c r="AG22" s="2" t="str">
        <v/>
      </c>
      <c r="AH22" s="2" t="str">
        <v/>
      </c>
      <c r="AI22" s="2" t="str">
        <v/>
      </c>
      <c r="AJ22" s="2" t="str">
        <v/>
      </c>
      <c r="AK22" s="2" t="str">
        <v/>
      </c>
      <c r="AL22" s="2" t="str">
        <v/>
      </c>
      <c r="AM22" s="2" t="str">
        <v/>
      </c>
      <c r="AN22" s="2">
        <v>126.56808995024952</v>
      </c>
      <c r="AO22" s="2">
        <v>118.91191343064131</v>
      </c>
      <c r="AP22" s="2">
        <v>107.62384230494078</v>
      </c>
    </row>
    <row r="23" spans="1:42" x14ac:dyDescent="0.3">
      <c r="A23" s="2" t="str">
        <v/>
      </c>
      <c r="B23" s="2" t="str">
        <v/>
      </c>
      <c r="C23" s="2" t="str">
        <v/>
      </c>
      <c r="D23" s="2" t="str">
        <v/>
      </c>
      <c r="E23" s="2" t="str">
        <v/>
      </c>
      <c r="F23" s="2" t="str">
        <v/>
      </c>
      <c r="G23" s="2" t="str">
        <v/>
      </c>
      <c r="H23" s="2" t="str">
        <v/>
      </c>
      <c r="I23" s="2" t="str">
        <v/>
      </c>
      <c r="J23" s="2" t="str">
        <v/>
      </c>
      <c r="K23" s="2" t="str">
        <v/>
      </c>
      <c r="L23" s="2" t="str">
        <v/>
      </c>
      <c r="M23" s="2" t="str">
        <v/>
      </c>
      <c r="N23" s="2" t="str">
        <v/>
      </c>
      <c r="O23" s="2" t="str">
        <v/>
      </c>
      <c r="P23" s="2" t="str">
        <v/>
      </c>
      <c r="Q23" s="2" t="str">
        <v/>
      </c>
      <c r="R23" s="2" t="str">
        <v/>
      </c>
      <c r="S23" s="2" t="str">
        <v/>
      </c>
      <c r="T23" s="2" t="str">
        <v/>
      </c>
      <c r="U23" s="2" t="str">
        <v/>
      </c>
      <c r="V23" s="2" t="str">
        <v/>
      </c>
      <c r="W23" s="2" t="str">
        <v/>
      </c>
      <c r="X23" s="2" t="str">
        <v/>
      </c>
      <c r="Y23" s="2" t="str">
        <v/>
      </c>
      <c r="Z23" s="2" t="str">
        <v/>
      </c>
      <c r="AA23" s="2" t="str">
        <v/>
      </c>
      <c r="AB23" s="2" t="str">
        <v/>
      </c>
      <c r="AC23" s="2" t="str">
        <v/>
      </c>
      <c r="AD23" s="2" t="str">
        <v/>
      </c>
      <c r="AE23" s="2" t="str">
        <v/>
      </c>
      <c r="AF23" s="2" t="str">
        <v/>
      </c>
      <c r="AG23" s="2" t="str">
        <v/>
      </c>
      <c r="AH23" s="2" t="str">
        <v/>
      </c>
      <c r="AI23" s="2" t="str">
        <v/>
      </c>
      <c r="AJ23" s="2" t="str">
        <v/>
      </c>
      <c r="AK23" s="2" t="str">
        <v/>
      </c>
      <c r="AL23" s="2" t="str">
        <v/>
      </c>
      <c r="AM23" s="2">
        <v>126.25784844942751</v>
      </c>
      <c r="AN23" s="2">
        <v>117.73191520866311</v>
      </c>
      <c r="AO23" s="2">
        <v>109.50480701337747</v>
      </c>
      <c r="AP23" s="2">
        <v>101.56605035817441</v>
      </c>
    </row>
    <row r="24" spans="1:42" x14ac:dyDescent="0.3">
      <c r="A24" s="2" t="str">
        <v/>
      </c>
      <c r="B24" s="2" t="str">
        <v/>
      </c>
      <c r="C24" s="2" t="str">
        <v/>
      </c>
      <c r="D24" s="2" t="str">
        <v/>
      </c>
      <c r="E24" s="2" t="str">
        <v/>
      </c>
      <c r="F24" s="2" t="str">
        <v/>
      </c>
      <c r="G24" s="2" t="str">
        <v/>
      </c>
      <c r="H24" s="2" t="str">
        <v/>
      </c>
      <c r="I24" s="2" t="str">
        <v/>
      </c>
      <c r="J24" s="2" t="str">
        <v/>
      </c>
      <c r="K24" s="2" t="str">
        <v/>
      </c>
      <c r="L24" s="2" t="str">
        <v/>
      </c>
      <c r="M24" s="2" t="str">
        <v/>
      </c>
      <c r="N24" s="2" t="str">
        <v/>
      </c>
      <c r="O24" s="2" t="str">
        <v/>
      </c>
      <c r="P24" s="2" t="str">
        <v/>
      </c>
      <c r="Q24" s="2" t="str">
        <v/>
      </c>
      <c r="R24" s="2" t="str">
        <v/>
      </c>
      <c r="S24" s="2" t="str">
        <v/>
      </c>
      <c r="T24" s="2" t="str">
        <v/>
      </c>
      <c r="U24" s="2" t="str">
        <v/>
      </c>
      <c r="V24" s="2" t="str">
        <v/>
      </c>
      <c r="W24" s="2" t="str">
        <v/>
      </c>
      <c r="X24" s="2" t="str">
        <v/>
      </c>
      <c r="Y24" s="2" t="str">
        <v/>
      </c>
      <c r="Z24" s="2" t="str">
        <v/>
      </c>
      <c r="AA24" s="2" t="str">
        <v/>
      </c>
      <c r="AB24" s="2" t="str">
        <v/>
      </c>
      <c r="AC24" s="2" t="str">
        <v/>
      </c>
      <c r="AD24" s="2" t="str">
        <v/>
      </c>
      <c r="AE24" s="2" t="str">
        <v/>
      </c>
      <c r="AF24" s="2" t="str">
        <v/>
      </c>
      <c r="AG24" s="2" t="str">
        <v/>
      </c>
      <c r="AH24" s="2" t="str">
        <v/>
      </c>
      <c r="AI24" s="2" t="str">
        <v/>
      </c>
      <c r="AJ24" s="2" t="str">
        <v/>
      </c>
      <c r="AK24" s="2" t="str">
        <v/>
      </c>
      <c r="AL24" s="2">
        <v>117.99306876226886</v>
      </c>
      <c r="AM24" s="2">
        <v>109.50480701337747</v>
      </c>
      <c r="AN24" s="2">
        <v>101.56605035817435</v>
      </c>
      <c r="AO24" s="2">
        <v>93.905538823070685</v>
      </c>
      <c r="AP24" s="2">
        <v>86.513520207536573</v>
      </c>
    </row>
    <row r="25" spans="1:42" x14ac:dyDescent="0.3">
      <c r="A25" s="2" t="str">
        <v/>
      </c>
      <c r="B25" s="2" t="str">
        <v/>
      </c>
      <c r="C25" s="2" t="str">
        <v/>
      </c>
      <c r="D25" s="2" t="str">
        <v/>
      </c>
      <c r="E25" s="2" t="str">
        <v/>
      </c>
      <c r="F25" s="2" t="str">
        <v/>
      </c>
      <c r="G25" s="2" t="str">
        <v/>
      </c>
      <c r="H25" s="2" t="str">
        <v/>
      </c>
      <c r="I25" s="2" t="str">
        <v/>
      </c>
      <c r="J25" s="2" t="str">
        <v/>
      </c>
      <c r="K25" s="2" t="str">
        <v/>
      </c>
      <c r="L25" s="2" t="str">
        <v/>
      </c>
      <c r="M25" s="2" t="str">
        <v/>
      </c>
      <c r="N25" s="2" t="str">
        <v/>
      </c>
      <c r="O25" s="2" t="str">
        <v/>
      </c>
      <c r="P25" s="2" t="str">
        <v/>
      </c>
      <c r="Q25" s="2" t="str">
        <v/>
      </c>
      <c r="R25" s="2" t="str">
        <v/>
      </c>
      <c r="S25" s="2" t="str">
        <v/>
      </c>
      <c r="T25" s="2" t="str">
        <v/>
      </c>
      <c r="U25" s="2" t="str">
        <v/>
      </c>
      <c r="V25" s="2" t="str">
        <v/>
      </c>
      <c r="W25" s="2" t="str">
        <v/>
      </c>
      <c r="X25" s="2" t="str">
        <v/>
      </c>
      <c r="Y25" s="2" t="str">
        <v/>
      </c>
      <c r="Z25" s="2" t="str">
        <v/>
      </c>
      <c r="AA25" s="2" t="str">
        <v/>
      </c>
      <c r="AB25" s="2" t="str">
        <v/>
      </c>
      <c r="AC25" s="2" t="str">
        <v/>
      </c>
      <c r="AD25" s="2" t="str">
        <v/>
      </c>
      <c r="AE25" s="2" t="str">
        <v/>
      </c>
      <c r="AF25" s="2" t="str">
        <v/>
      </c>
      <c r="AG25" s="2" t="str">
        <v/>
      </c>
      <c r="AH25" s="2" t="str">
        <v/>
      </c>
      <c r="AI25" s="2" t="str">
        <v/>
      </c>
      <c r="AJ25" s="2" t="str">
        <v/>
      </c>
      <c r="AK25" s="2">
        <v>121.42611264566051</v>
      </c>
      <c r="AL25" s="2">
        <v>113.06952669281515</v>
      </c>
      <c r="AM25" s="2">
        <v>105.0058303400744</v>
      </c>
      <c r="AN25" s="2">
        <v>97.224758113196401</v>
      </c>
      <c r="AO25" s="2">
        <v>89.716404332077872</v>
      </c>
      <c r="AP25" s="2">
        <v>82.47121050034599</v>
      </c>
    </row>
    <row r="26" spans="1:42" x14ac:dyDescent="0.3">
      <c r="A26" s="2" t="str">
        <v/>
      </c>
      <c r="B26" s="2" t="str">
        <v/>
      </c>
      <c r="C26" s="2" t="str">
        <v/>
      </c>
      <c r="D26" s="2" t="str">
        <v/>
      </c>
      <c r="E26" s="2" t="str">
        <v/>
      </c>
      <c r="F26" s="2" t="str">
        <v/>
      </c>
      <c r="G26" s="2" t="str">
        <v/>
      </c>
      <c r="H26" s="2" t="str">
        <v/>
      </c>
      <c r="I26" s="2" t="str">
        <v/>
      </c>
      <c r="J26" s="2" t="str">
        <v/>
      </c>
      <c r="K26" s="2" t="str">
        <v/>
      </c>
      <c r="L26" s="2" t="str">
        <v/>
      </c>
      <c r="M26" s="2" t="str">
        <v/>
      </c>
      <c r="N26" s="2" t="str">
        <v/>
      </c>
      <c r="O26" s="2" t="str">
        <v/>
      </c>
      <c r="P26" s="2" t="str">
        <v/>
      </c>
      <c r="Q26" s="2" t="str">
        <v/>
      </c>
      <c r="R26" s="2" t="str">
        <v/>
      </c>
      <c r="S26" s="2" t="str">
        <v/>
      </c>
      <c r="T26" s="2" t="str">
        <v/>
      </c>
      <c r="U26" s="2" t="str">
        <v/>
      </c>
      <c r="V26" s="2" t="str">
        <v/>
      </c>
      <c r="W26" s="2" t="str">
        <v/>
      </c>
      <c r="X26" s="2" t="str">
        <v/>
      </c>
      <c r="Y26" s="2" t="str">
        <v/>
      </c>
      <c r="Z26" s="2" t="str">
        <v/>
      </c>
      <c r="AA26" s="2" t="str">
        <v/>
      </c>
      <c r="AB26" s="2" t="str">
        <v/>
      </c>
      <c r="AC26" s="2" t="str">
        <v/>
      </c>
      <c r="AD26" s="2" t="str">
        <v/>
      </c>
      <c r="AE26" s="2" t="str">
        <v/>
      </c>
      <c r="AF26" s="2" t="str">
        <v/>
      </c>
      <c r="AG26" s="2" t="str">
        <v/>
      </c>
      <c r="AH26" s="2" t="str">
        <v/>
      </c>
      <c r="AI26" s="2" t="str">
        <v/>
      </c>
      <c r="AJ26" s="2">
        <v>108.70413817630076</v>
      </c>
      <c r="AK26" s="2">
        <v>98.782865364881729</v>
      </c>
      <c r="AL26" s="2">
        <v>88.464271932541564</v>
      </c>
      <c r="AM26" s="2">
        <v>78.63429302654275</v>
      </c>
      <c r="AN26" s="2">
        <v>69.269660307415691</v>
      </c>
      <c r="AO26" s="2">
        <v>60.348213434268729</v>
      </c>
      <c r="AP26" s="2">
        <v>51.848847303757111</v>
      </c>
    </row>
    <row r="27" spans="1:42" x14ac:dyDescent="0.3">
      <c r="A27" s="2" t="str">
        <v/>
      </c>
      <c r="B27" s="2" t="str">
        <v/>
      </c>
      <c r="C27" s="2" t="str">
        <v/>
      </c>
      <c r="D27" s="2" t="str">
        <v/>
      </c>
      <c r="E27" s="2" t="str">
        <v/>
      </c>
      <c r="F27" s="2" t="str">
        <v/>
      </c>
      <c r="G27" s="2" t="str">
        <v/>
      </c>
      <c r="H27" s="2" t="str">
        <v/>
      </c>
      <c r="I27" s="2" t="str">
        <v/>
      </c>
      <c r="J27" s="2" t="str">
        <v/>
      </c>
      <c r="K27" s="2" t="str">
        <v/>
      </c>
      <c r="L27" s="2" t="str">
        <v/>
      </c>
      <c r="M27" s="2" t="str">
        <v/>
      </c>
      <c r="N27" s="2" t="str">
        <v/>
      </c>
      <c r="O27" s="2" t="str">
        <v/>
      </c>
      <c r="P27" s="2" t="str">
        <v/>
      </c>
      <c r="Q27" s="2" t="str">
        <v/>
      </c>
      <c r="R27" s="2" t="str">
        <v/>
      </c>
      <c r="S27" s="2" t="str">
        <v/>
      </c>
      <c r="T27" s="2" t="str">
        <v/>
      </c>
      <c r="U27" s="2" t="str">
        <v/>
      </c>
      <c r="V27" s="2" t="str">
        <v/>
      </c>
      <c r="W27" s="2" t="str">
        <v/>
      </c>
      <c r="X27" s="2" t="str">
        <v/>
      </c>
      <c r="Y27" s="2" t="str">
        <v/>
      </c>
      <c r="Z27" s="2" t="str">
        <v/>
      </c>
      <c r="AA27" s="2" t="str">
        <v/>
      </c>
      <c r="AB27" s="2" t="str">
        <v/>
      </c>
      <c r="AC27" s="2" t="str">
        <v/>
      </c>
      <c r="AD27" s="2" t="str">
        <v/>
      </c>
      <c r="AE27" s="2" t="str">
        <v/>
      </c>
      <c r="AF27" s="2" t="str">
        <v/>
      </c>
      <c r="AG27" s="2" t="str">
        <v/>
      </c>
      <c r="AH27" s="2" t="str">
        <v/>
      </c>
      <c r="AI27" s="2">
        <v>104.00100844392938</v>
      </c>
      <c r="AJ27" s="2">
        <v>94.031231141388872</v>
      </c>
      <c r="AK27" s="2">
        <v>83.941640766662161</v>
      </c>
      <c r="AL27" s="2">
        <v>74.329761513486545</v>
      </c>
      <c r="AM27" s="2">
        <v>65.172844244860528</v>
      </c>
      <c r="AN27" s="2">
        <v>56.449223098811721</v>
      </c>
      <c r="AO27" s="2">
        <v>48.138263904659652</v>
      </c>
      <c r="AP27" s="2">
        <v>40.220315055609689</v>
      </c>
    </row>
    <row r="28" spans="1:42" x14ac:dyDescent="0.3">
      <c r="A28" s="2" t="str">
        <v/>
      </c>
      <c r="B28" s="2" t="str">
        <v/>
      </c>
      <c r="C28" s="2" t="str">
        <v/>
      </c>
      <c r="D28" s="2" t="str">
        <v/>
      </c>
      <c r="E28" s="2" t="str">
        <v/>
      </c>
      <c r="F28" s="2" t="str">
        <v/>
      </c>
      <c r="G28" s="2" t="str">
        <v/>
      </c>
      <c r="H28" s="2" t="str">
        <v/>
      </c>
      <c r="I28" s="2" t="str">
        <v/>
      </c>
      <c r="J28" s="2" t="str">
        <v/>
      </c>
      <c r="K28" s="2" t="str">
        <v/>
      </c>
      <c r="L28" s="2" t="str">
        <v/>
      </c>
      <c r="M28" s="2" t="str">
        <v/>
      </c>
      <c r="N28" s="2" t="str">
        <v/>
      </c>
      <c r="O28" s="2" t="str">
        <v/>
      </c>
      <c r="P28" s="2" t="str">
        <v/>
      </c>
      <c r="Q28" s="2" t="str">
        <v/>
      </c>
      <c r="R28" s="2" t="str">
        <v/>
      </c>
      <c r="S28" s="2" t="str">
        <v/>
      </c>
      <c r="T28" s="2" t="str">
        <v/>
      </c>
      <c r="U28" s="2" t="str">
        <v/>
      </c>
      <c r="V28" s="2" t="str">
        <v/>
      </c>
      <c r="W28" s="2" t="str">
        <v/>
      </c>
      <c r="X28" s="2" t="str">
        <v/>
      </c>
      <c r="Y28" s="2" t="str">
        <v/>
      </c>
      <c r="Z28" s="2" t="str">
        <v/>
      </c>
      <c r="AA28" s="2" t="str">
        <v/>
      </c>
      <c r="AB28" s="2" t="str">
        <v/>
      </c>
      <c r="AC28" s="2" t="str">
        <v/>
      </c>
      <c r="AD28" s="2" t="str">
        <v/>
      </c>
      <c r="AE28" s="2" t="str">
        <v/>
      </c>
      <c r="AF28" s="2" t="str">
        <v/>
      </c>
      <c r="AG28" s="2" t="str">
        <v/>
      </c>
      <c r="AH28" s="2">
        <v>99.3187958880048</v>
      </c>
      <c r="AI28" s="2">
        <v>89.386865804357882</v>
      </c>
      <c r="AJ28" s="2">
        <v>79.521169187713184</v>
      </c>
      <c r="AK28" s="2">
        <v>70.122523583436788</v>
      </c>
      <c r="AL28" s="2">
        <v>61.168687471666985</v>
      </c>
      <c r="AM28" s="2">
        <v>53.262760980861032</v>
      </c>
      <c r="AN28" s="2">
        <v>47.29522923311211</v>
      </c>
      <c r="AO28" s="2">
        <v>41.53685323354469</v>
      </c>
      <c r="AP28" s="2">
        <v>35.980302291875603</v>
      </c>
    </row>
    <row r="29" spans="1:42" x14ac:dyDescent="0.3">
      <c r="A29" s="2" t="str">
        <v/>
      </c>
      <c r="B29" s="2" t="str">
        <v/>
      </c>
      <c r="C29" s="2" t="str">
        <v/>
      </c>
      <c r="D29" s="2" t="str">
        <v/>
      </c>
      <c r="E29" s="2" t="str">
        <v/>
      </c>
      <c r="F29" s="2" t="str">
        <v/>
      </c>
      <c r="G29" s="2" t="str">
        <v/>
      </c>
      <c r="H29" s="2" t="str">
        <v/>
      </c>
      <c r="I29" s="2" t="str">
        <v/>
      </c>
      <c r="J29" s="2" t="str">
        <v/>
      </c>
      <c r="K29" s="2" t="str">
        <v/>
      </c>
      <c r="L29" s="2" t="str">
        <v/>
      </c>
      <c r="M29" s="2" t="str">
        <v/>
      </c>
      <c r="N29" s="2" t="str">
        <v/>
      </c>
      <c r="O29" s="2" t="str">
        <v/>
      </c>
      <c r="P29" s="2" t="str">
        <v/>
      </c>
      <c r="Q29" s="2" t="str">
        <v/>
      </c>
      <c r="R29" s="2" t="str">
        <v/>
      </c>
      <c r="S29" s="2" t="str">
        <v/>
      </c>
      <c r="T29" s="2" t="str">
        <v/>
      </c>
      <c r="U29" s="2" t="str">
        <v/>
      </c>
      <c r="V29" s="2" t="str">
        <v/>
      </c>
      <c r="W29" s="2" t="str">
        <v/>
      </c>
      <c r="X29" s="2" t="str">
        <v/>
      </c>
      <c r="Y29" s="2" t="str">
        <v/>
      </c>
      <c r="Z29" s="2" t="str">
        <v/>
      </c>
      <c r="AA29" s="2" t="str">
        <v/>
      </c>
      <c r="AB29" s="2" t="str">
        <v/>
      </c>
      <c r="AC29" s="2" t="str">
        <v/>
      </c>
      <c r="AD29" s="2" t="str">
        <v/>
      </c>
      <c r="AE29" s="2" t="str">
        <v/>
      </c>
      <c r="AF29" s="2" t="str">
        <v/>
      </c>
      <c r="AG29" s="2">
        <v>94.684098007860882</v>
      </c>
      <c r="AH29" s="2">
        <v>84.847375182082885</v>
      </c>
      <c r="AI29" s="2">
        <v>75.200577031073976</v>
      </c>
      <c r="AJ29" s="2">
        <v>66.010407650032548</v>
      </c>
      <c r="AK29" s="2">
        <v>57.255121809419819</v>
      </c>
      <c r="AL29" s="2">
        <v>48.914009750340114</v>
      </c>
      <c r="AM29" s="2">
        <v>40.967347877168251</v>
      </c>
      <c r="AN29" s="2">
        <v>33.396351798111333</v>
      </c>
      <c r="AO29" s="2">
        <v>26.183131601899866</v>
      </c>
      <c r="AP29" s="2">
        <v>19.310649264127903</v>
      </c>
    </row>
    <row r="30" spans="1:42" x14ac:dyDescent="0.3">
      <c r="A30" s="2" t="str">
        <v/>
      </c>
      <c r="B30" s="2" t="str">
        <v/>
      </c>
      <c r="C30" s="2" t="str">
        <v/>
      </c>
      <c r="D30" s="2" t="str">
        <v/>
      </c>
      <c r="E30" s="2" t="str">
        <v/>
      </c>
      <c r="F30" s="2" t="str">
        <v/>
      </c>
      <c r="G30" s="2" t="str">
        <v/>
      </c>
      <c r="H30" s="2" t="str">
        <v/>
      </c>
      <c r="I30" s="2" t="str">
        <v/>
      </c>
      <c r="J30" s="2" t="str">
        <v/>
      </c>
      <c r="K30" s="2" t="str">
        <v/>
      </c>
      <c r="L30" s="2" t="str">
        <v/>
      </c>
      <c r="M30" s="2" t="str">
        <v/>
      </c>
      <c r="N30" s="2" t="str">
        <v/>
      </c>
      <c r="O30" s="2" t="str">
        <v/>
      </c>
      <c r="P30" s="2" t="str">
        <v/>
      </c>
      <c r="Q30" s="2" t="str">
        <v/>
      </c>
      <c r="R30" s="2" t="str">
        <v/>
      </c>
      <c r="S30" s="2" t="str">
        <v/>
      </c>
      <c r="T30" s="2" t="str">
        <v/>
      </c>
      <c r="U30" s="2" t="str">
        <v/>
      </c>
      <c r="V30" s="2" t="str">
        <v/>
      </c>
      <c r="W30" s="2" t="str">
        <v/>
      </c>
      <c r="X30" s="2" t="str">
        <v/>
      </c>
      <c r="Y30" s="2" t="str">
        <v/>
      </c>
      <c r="Z30" s="2" t="str">
        <v/>
      </c>
      <c r="AA30" s="2" t="str">
        <v/>
      </c>
      <c r="AB30" s="2" t="str">
        <v/>
      </c>
      <c r="AC30" s="2" t="str">
        <v/>
      </c>
      <c r="AD30" s="2" t="str">
        <v/>
      </c>
      <c r="AE30" s="2" t="str">
        <v/>
      </c>
      <c r="AF30" s="2">
        <v>90.11432826436689</v>
      </c>
      <c r="AG30" s="2">
        <v>80.410418525984568</v>
      </c>
      <c r="AH30" s="2">
        <v>70.977635011330563</v>
      </c>
      <c r="AI30" s="2">
        <v>62.223958927222156</v>
      </c>
      <c r="AJ30" s="2">
        <v>55.942346561170694</v>
      </c>
      <c r="AK30" s="2">
        <v>49.88089814057335</v>
      </c>
      <c r="AL30" s="2">
        <v>44.031897149342711</v>
      </c>
      <c r="AM30" s="2">
        <v>38.387897527211862</v>
      </c>
      <c r="AN30" s="2">
        <v>32.941714190540722</v>
      </c>
      <c r="AO30" s="2">
        <v>27.686413885358178</v>
      </c>
      <c r="AP30" s="2">
        <v>22.615306360995476</v>
      </c>
    </row>
    <row r="31" spans="1:42" x14ac:dyDescent="0.3">
      <c r="A31" s="2" t="str">
        <v/>
      </c>
      <c r="B31" s="2" t="str">
        <v/>
      </c>
      <c r="C31" s="2" t="str">
        <v/>
      </c>
      <c r="D31" s="2" t="str">
        <v/>
      </c>
      <c r="E31" s="2" t="str">
        <v/>
      </c>
      <c r="F31" s="2" t="str">
        <v/>
      </c>
      <c r="G31" s="2" t="str">
        <v/>
      </c>
      <c r="H31" s="2" t="str">
        <v/>
      </c>
      <c r="I31" s="2" t="str">
        <v/>
      </c>
      <c r="J31" s="2" t="str">
        <v/>
      </c>
      <c r="K31" s="2" t="str">
        <v/>
      </c>
      <c r="L31" s="2" t="str">
        <v/>
      </c>
      <c r="M31" s="2" t="str">
        <v/>
      </c>
      <c r="N31" s="2" t="str">
        <v/>
      </c>
      <c r="O31" s="2" t="str">
        <v/>
      </c>
      <c r="P31" s="2" t="str">
        <v/>
      </c>
      <c r="Q31" s="2" t="str">
        <v/>
      </c>
      <c r="R31" s="2" t="str">
        <v/>
      </c>
      <c r="S31" s="2" t="str">
        <v/>
      </c>
      <c r="T31" s="2" t="str">
        <v/>
      </c>
      <c r="U31" s="2" t="str">
        <v/>
      </c>
      <c r="V31" s="2" t="str">
        <v/>
      </c>
      <c r="W31" s="2" t="str">
        <v/>
      </c>
      <c r="X31" s="2" t="str">
        <v/>
      </c>
      <c r="Y31" s="2" t="str">
        <v/>
      </c>
      <c r="Z31" s="2" t="str">
        <v/>
      </c>
      <c r="AA31" s="2" t="str">
        <v/>
      </c>
      <c r="AB31" s="2" t="str">
        <v/>
      </c>
      <c r="AC31" s="2" t="str">
        <v/>
      </c>
      <c r="AD31" s="2" t="str">
        <v/>
      </c>
      <c r="AE31" s="2">
        <v>85.620676855775542</v>
      </c>
      <c r="AF31" s="2">
        <v>77.733732034132856</v>
      </c>
      <c r="AG31" s="2">
        <v>71.223958927222128</v>
      </c>
      <c r="AH31" s="2">
        <v>64.942346561170694</v>
      </c>
      <c r="AI31" s="2">
        <v>58.880898140573379</v>
      </c>
      <c r="AJ31" s="2">
        <v>53.03189714934274</v>
      </c>
      <c r="AK31" s="2">
        <v>47.387897527211862</v>
      </c>
      <c r="AL31" s="2">
        <v>41.941714190540722</v>
      </c>
      <c r="AM31" s="2">
        <v>36.686413885358178</v>
      </c>
      <c r="AN31" s="2">
        <v>31.615306360995476</v>
      </c>
      <c r="AO31" s="2">
        <v>26.721935853074569</v>
      </c>
      <c r="AP31" s="2">
        <v>22.00007286500886</v>
      </c>
    </row>
    <row r="32" spans="1:42" x14ac:dyDescent="0.3">
      <c r="A32" s="2" t="str">
        <v/>
      </c>
      <c r="B32" s="2" t="str">
        <v/>
      </c>
      <c r="C32" s="2" t="str">
        <v/>
      </c>
      <c r="D32" s="2" t="str">
        <v/>
      </c>
      <c r="E32" s="2" t="str">
        <v/>
      </c>
      <c r="F32" s="2" t="str">
        <v/>
      </c>
      <c r="G32" s="2" t="str">
        <v/>
      </c>
      <c r="H32" s="2" t="str">
        <v/>
      </c>
      <c r="I32" s="2" t="str">
        <v/>
      </c>
      <c r="J32" s="2" t="str">
        <v/>
      </c>
      <c r="K32" s="2" t="str">
        <v/>
      </c>
      <c r="L32" s="2" t="str">
        <v/>
      </c>
      <c r="M32" s="2" t="str">
        <v/>
      </c>
      <c r="N32" s="2" t="str">
        <v/>
      </c>
      <c r="O32" s="2" t="str">
        <v/>
      </c>
      <c r="P32" s="2" t="str">
        <v/>
      </c>
      <c r="Q32" s="2" t="str">
        <v/>
      </c>
      <c r="R32" s="2" t="str">
        <v/>
      </c>
      <c r="S32" s="2" t="str">
        <v/>
      </c>
      <c r="T32" s="2" t="str">
        <v/>
      </c>
      <c r="U32" s="2" t="str">
        <v/>
      </c>
      <c r="V32" s="2" t="str">
        <v/>
      </c>
      <c r="W32" s="2" t="str">
        <v/>
      </c>
      <c r="X32" s="2" t="str">
        <v/>
      </c>
      <c r="Y32" s="2" t="str">
        <v/>
      </c>
      <c r="Z32" s="2" t="str">
        <v/>
      </c>
      <c r="AA32" s="2" t="str">
        <v/>
      </c>
      <c r="AB32" s="2" t="str">
        <v/>
      </c>
      <c r="AC32" s="2" t="str">
        <v/>
      </c>
      <c r="AD32" s="2">
        <v>81.210213722716375</v>
      </c>
      <c r="AE32" s="2">
        <v>71.835723935070476</v>
      </c>
      <c r="AF32" s="2">
        <v>62.818105060079716</v>
      </c>
      <c r="AG32" s="2">
        <v>54.229712971233226</v>
      </c>
      <c r="AH32" s="2">
        <v>46.054672407530539</v>
      </c>
      <c r="AI32" s="2">
        <v>38.285675997914957</v>
      </c>
      <c r="AJ32" s="2">
        <v>30.936043583504144</v>
      </c>
      <c r="AK32" s="2">
        <v>24.068659208223988</v>
      </c>
      <c r="AL32" s="2">
        <v>17.858294082790657</v>
      </c>
      <c r="AM32" s="2">
        <v>12.696589659743477</v>
      </c>
      <c r="AN32" s="2">
        <v>9.2338630761944369</v>
      </c>
      <c r="AO32" s="2">
        <v>7.5974792983175723</v>
      </c>
      <c r="AP32" s="2">
        <v>2.0427595420999438</v>
      </c>
    </row>
    <row r="33" spans="1:42" x14ac:dyDescent="0.3">
      <c r="A33" s="2" t="str">
        <v/>
      </c>
      <c r="B33" s="2" t="str">
        <v/>
      </c>
      <c r="C33" s="2" t="str">
        <v/>
      </c>
      <c r="D33" s="2" t="str">
        <v/>
      </c>
      <c r="E33" s="2" t="str">
        <v/>
      </c>
      <c r="F33" s="2" t="str">
        <v/>
      </c>
      <c r="G33" s="2" t="str">
        <v/>
      </c>
      <c r="H33" s="2" t="str">
        <v/>
      </c>
      <c r="I33" s="2" t="str">
        <v/>
      </c>
      <c r="J33" s="2" t="str">
        <v/>
      </c>
      <c r="K33" s="2" t="str">
        <v/>
      </c>
      <c r="L33" s="2" t="str">
        <v/>
      </c>
      <c r="M33" s="2" t="str">
        <v/>
      </c>
      <c r="N33" s="2" t="str">
        <v/>
      </c>
      <c r="O33" s="2" t="str">
        <v/>
      </c>
      <c r="P33" s="2" t="str">
        <v/>
      </c>
      <c r="Q33" s="2" t="str">
        <v/>
      </c>
      <c r="R33" s="2" t="str">
        <v/>
      </c>
      <c r="S33" s="2" t="str">
        <v/>
      </c>
      <c r="T33" s="2" t="str">
        <v/>
      </c>
      <c r="U33" s="2" t="str">
        <v/>
      </c>
      <c r="V33" s="2" t="str">
        <v/>
      </c>
      <c r="W33" s="2" t="str">
        <v/>
      </c>
      <c r="X33" s="2" t="str">
        <v/>
      </c>
      <c r="Y33" s="2" t="str">
        <v/>
      </c>
      <c r="Z33" s="2" t="str">
        <v/>
      </c>
      <c r="AA33" s="2" t="str">
        <v/>
      </c>
      <c r="AB33" s="2" t="str">
        <v/>
      </c>
      <c r="AC33" s="2">
        <v>76.887451444662119</v>
      </c>
      <c r="AD33" s="2">
        <v>67.695203780439456</v>
      </c>
      <c r="AE33" s="2">
        <v>58.881332243527673</v>
      </c>
      <c r="AF33" s="2">
        <v>50.492738016922537</v>
      </c>
      <c r="AG33" s="2">
        <v>42.521568969671193</v>
      </c>
      <c r="AH33" s="2">
        <v>34.977241475467366</v>
      </c>
      <c r="AI33" s="2">
        <v>27.905206771576104</v>
      </c>
      <c r="AJ33" s="2">
        <v>21.420192121310144</v>
      </c>
      <c r="AK33" s="2">
        <v>15.748763653200347</v>
      </c>
      <c r="AL33" s="2">
        <v>11.229394428605405</v>
      </c>
      <c r="AM33" s="2">
        <v>8.0865618288475432</v>
      </c>
      <c r="AN33" s="2">
        <v>5.6278953491492238</v>
      </c>
      <c r="AO33" s="2">
        <v>1.3943749482170478</v>
      </c>
      <c r="AP33" s="2">
        <v>0</v>
      </c>
    </row>
    <row r="34" spans="1:42" x14ac:dyDescent="0.3">
      <c r="A34" s="2" t="str">
        <v/>
      </c>
      <c r="B34" s="2" t="str">
        <v/>
      </c>
      <c r="C34" s="2" t="str">
        <v/>
      </c>
      <c r="D34" s="2" t="str">
        <v/>
      </c>
      <c r="E34" s="2" t="str">
        <v/>
      </c>
      <c r="F34" s="2" t="str">
        <v/>
      </c>
      <c r="G34" s="2" t="str">
        <v/>
      </c>
      <c r="H34" s="2" t="str">
        <v/>
      </c>
      <c r="I34" s="2" t="str">
        <v/>
      </c>
      <c r="J34" s="2" t="str">
        <v/>
      </c>
      <c r="K34" s="2" t="str">
        <v/>
      </c>
      <c r="L34" s="2" t="str">
        <v/>
      </c>
      <c r="M34" s="2" t="str">
        <v/>
      </c>
      <c r="N34" s="2" t="str">
        <v/>
      </c>
      <c r="O34" s="2" t="str">
        <v/>
      </c>
      <c r="P34" s="2" t="str">
        <v/>
      </c>
      <c r="Q34" s="2" t="str">
        <v/>
      </c>
      <c r="R34" s="2" t="str">
        <v/>
      </c>
      <c r="S34" s="2" t="str">
        <v/>
      </c>
      <c r="T34" s="2" t="str">
        <v/>
      </c>
      <c r="U34" s="2" t="str">
        <v/>
      </c>
      <c r="V34" s="2" t="str">
        <v/>
      </c>
      <c r="W34" s="2" t="str">
        <v/>
      </c>
      <c r="X34" s="2" t="str">
        <v/>
      </c>
      <c r="Y34" s="2" t="str">
        <v/>
      </c>
      <c r="Z34" s="2" t="str">
        <v/>
      </c>
      <c r="AA34" s="2" t="str">
        <v/>
      </c>
      <c r="AB34" s="2">
        <v>72.655548712616309</v>
      </c>
      <c r="AC34" s="2">
        <v>63.652486324302139</v>
      </c>
      <c r="AD34" s="2">
        <v>55.043045670845849</v>
      </c>
      <c r="AE34" s="2">
        <v>47.387897527211862</v>
      </c>
      <c r="AF34" s="2">
        <v>41.941714190540722</v>
      </c>
      <c r="AG34" s="2">
        <v>36.686413885358149</v>
      </c>
      <c r="AH34" s="2">
        <v>31.615306360995447</v>
      </c>
      <c r="AI34" s="2">
        <v>26.721935853074569</v>
      </c>
      <c r="AJ34" s="2">
        <v>22.000072865008832</v>
      </c>
      <c r="AK34" s="2">
        <v>17.443706237553442</v>
      </c>
      <c r="AL34" s="2">
        <v>13.047035496309945</v>
      </c>
      <c r="AM34" s="2">
        <v>8.8044634674426732</v>
      </c>
      <c r="AN34" s="2">
        <v>4.7105891522065093</v>
      </c>
      <c r="AO34" s="2">
        <v>0.76020085121518832</v>
      </c>
      <c r="AP34" s="2">
        <v>0</v>
      </c>
    </row>
    <row r="35" spans="1:42" x14ac:dyDescent="0.3">
      <c r="A35" s="2" t="str">
        <v/>
      </c>
      <c r="B35" s="2" t="str">
        <v/>
      </c>
      <c r="C35" s="2" t="str">
        <v/>
      </c>
      <c r="D35" s="2" t="str">
        <v/>
      </c>
      <c r="E35" s="2" t="str">
        <v/>
      </c>
      <c r="F35" s="2" t="str">
        <v/>
      </c>
      <c r="G35" s="2" t="str">
        <v/>
      </c>
      <c r="H35" s="2" t="str">
        <v/>
      </c>
      <c r="I35" s="2" t="str">
        <v/>
      </c>
      <c r="J35" s="2" t="str">
        <v/>
      </c>
      <c r="K35" s="2" t="str">
        <v/>
      </c>
      <c r="L35" s="2" t="str">
        <v/>
      </c>
      <c r="M35" s="2" t="str">
        <v/>
      </c>
      <c r="N35" s="2" t="str">
        <v/>
      </c>
      <c r="O35" s="2" t="str">
        <v/>
      </c>
      <c r="P35" s="2" t="str">
        <v/>
      </c>
      <c r="Q35" s="2" t="str">
        <v/>
      </c>
      <c r="R35" s="2" t="str">
        <v/>
      </c>
      <c r="S35" s="2" t="str">
        <v/>
      </c>
      <c r="T35" s="2" t="str">
        <v/>
      </c>
      <c r="U35" s="2" t="str">
        <v/>
      </c>
      <c r="V35" s="2" t="str">
        <v/>
      </c>
      <c r="W35" s="2" t="str">
        <v/>
      </c>
      <c r="X35" s="2" t="str">
        <v/>
      </c>
      <c r="Y35" s="2" t="str">
        <v/>
      </c>
      <c r="Z35" s="2" t="str">
        <v/>
      </c>
      <c r="AA35" s="2">
        <v>68.517233882249869</v>
      </c>
      <c r="AB35" s="2">
        <v>59.709377244722674</v>
      </c>
      <c r="AC35" s="2">
        <v>51.308409908514207</v>
      </c>
      <c r="AD35" s="2">
        <v>43.343534306861287</v>
      </c>
      <c r="AE35" s="2">
        <v>35.834865547100996</v>
      </c>
      <c r="AF35" s="2">
        <v>28.83616983435903</v>
      </c>
      <c r="AG35" s="2">
        <v>22.45005171855777</v>
      </c>
      <c r="AH35" s="2">
        <v>16.832387200613365</v>
      </c>
      <c r="AI35" s="2">
        <v>12.15614705149615</v>
      </c>
      <c r="AJ35" s="2">
        <v>8.4931636032233122</v>
      </c>
      <c r="AK35" s="2">
        <v>5.6256309157705893</v>
      </c>
      <c r="AL35" s="2">
        <v>3.0340250169010337</v>
      </c>
      <c r="AM35" s="2">
        <v>0.64968706287943345</v>
      </c>
      <c r="AN35" s="2">
        <v>0</v>
      </c>
      <c r="AO35" s="2">
        <v>0</v>
      </c>
      <c r="AP35" s="2">
        <v>0</v>
      </c>
    </row>
    <row r="36" spans="1:42" x14ac:dyDescent="0.3">
      <c r="A36" s="2" t="str">
        <v/>
      </c>
      <c r="B36" s="2" t="str">
        <v/>
      </c>
      <c r="C36" s="2" t="str">
        <v/>
      </c>
      <c r="D36" s="2" t="str">
        <v/>
      </c>
      <c r="E36" s="2" t="str">
        <v/>
      </c>
      <c r="F36" s="2" t="str">
        <v/>
      </c>
      <c r="G36" s="2" t="str">
        <v/>
      </c>
      <c r="H36" s="2" t="str">
        <v/>
      </c>
      <c r="I36" s="2" t="str">
        <v/>
      </c>
      <c r="J36" s="2" t="str">
        <v/>
      </c>
      <c r="K36" s="2" t="str">
        <v/>
      </c>
      <c r="L36" s="2" t="str">
        <v/>
      </c>
      <c r="M36" s="2" t="str">
        <v/>
      </c>
      <c r="N36" s="2" t="str">
        <v/>
      </c>
      <c r="O36" s="2" t="str">
        <v/>
      </c>
      <c r="P36" s="2" t="str">
        <v/>
      </c>
      <c r="Q36" s="2" t="str">
        <v/>
      </c>
      <c r="R36" s="2" t="str">
        <v/>
      </c>
      <c r="S36" s="2" t="str">
        <v/>
      </c>
      <c r="T36" s="2" t="str">
        <v/>
      </c>
      <c r="U36" s="2" t="str">
        <v/>
      </c>
      <c r="V36" s="2" t="str">
        <v/>
      </c>
      <c r="W36" s="2" t="str">
        <v/>
      </c>
      <c r="X36" s="2" t="str">
        <v/>
      </c>
      <c r="Y36" s="2" t="str">
        <v/>
      </c>
      <c r="Z36" s="2">
        <v>64.475471082936721</v>
      </c>
      <c r="AA36" s="2">
        <v>55.869353052669787</v>
      </c>
      <c r="AB36" s="2">
        <v>47.684505534309928</v>
      </c>
      <c r="AC36" s="2">
        <v>39.952551709551237</v>
      </c>
      <c r="AD36" s="2">
        <v>33.634541042945685</v>
      </c>
      <c r="AE36" s="2">
        <v>28.98583906042083</v>
      </c>
      <c r="AF36" s="2">
        <v>24.500069221758366</v>
      </c>
      <c r="AG36" s="2">
        <v>20.17152092567575</v>
      </c>
      <c r="AH36" s="2">
        <v>15.99468372149444</v>
      </c>
      <c r="AI36" s="2">
        <v>11.964240294070507</v>
      </c>
      <c r="AJ36" s="2">
        <v>8.075059694596149</v>
      </c>
      <c r="AK36" s="2">
        <v>4.3221908086544119</v>
      </c>
      <c r="AL36" s="2">
        <v>0.70085605321176558</v>
      </c>
      <c r="AM36" s="2">
        <v>0</v>
      </c>
      <c r="AN36" s="2">
        <v>0</v>
      </c>
      <c r="AO36" s="2">
        <v>0</v>
      </c>
      <c r="AP36" s="2">
        <v>0</v>
      </c>
    </row>
    <row r="37" spans="1:42" x14ac:dyDescent="0.3">
      <c r="A37" s="2" t="str">
        <v/>
      </c>
      <c r="B37" s="2" t="str">
        <v/>
      </c>
      <c r="C37" s="2" t="str">
        <v/>
      </c>
      <c r="D37" s="2" t="str">
        <v/>
      </c>
      <c r="E37" s="2" t="str">
        <v/>
      </c>
      <c r="F37" s="2" t="str">
        <v/>
      </c>
      <c r="G37" s="2" t="str">
        <v/>
      </c>
      <c r="H37" s="2" t="str">
        <v/>
      </c>
      <c r="I37" s="2" t="str">
        <v/>
      </c>
      <c r="J37" s="2" t="str">
        <v/>
      </c>
      <c r="K37" s="2" t="str">
        <v/>
      </c>
      <c r="L37" s="2" t="str">
        <v/>
      </c>
      <c r="M37" s="2" t="str">
        <v/>
      </c>
      <c r="N37" s="2" t="str">
        <v/>
      </c>
      <c r="O37" s="2" t="str">
        <v/>
      </c>
      <c r="P37" s="2" t="str">
        <v/>
      </c>
      <c r="Q37" s="2" t="str">
        <v/>
      </c>
      <c r="R37" s="2" t="str">
        <v/>
      </c>
      <c r="S37" s="2" t="str">
        <v/>
      </c>
      <c r="T37" s="2" t="str">
        <v/>
      </c>
      <c r="U37" s="2" t="str">
        <v/>
      </c>
      <c r="V37" s="2" t="str">
        <v/>
      </c>
      <c r="W37" s="2" t="str">
        <v/>
      </c>
      <c r="X37" s="2" t="str">
        <v/>
      </c>
      <c r="Y37" s="2">
        <v>60.53387399516015</v>
      </c>
      <c r="Z37" s="2">
        <v>52.13743202265011</v>
      </c>
      <c r="AA37" s="2">
        <v>44.179679266511471</v>
      </c>
      <c r="AB37" s="2">
        <v>36.69880800748458</v>
      </c>
      <c r="AC37" s="2">
        <v>29.747218126713122</v>
      </c>
      <c r="AD37" s="2">
        <v>24.500069221758324</v>
      </c>
      <c r="AE37" s="2">
        <v>20.171520925675708</v>
      </c>
      <c r="AF37" s="2">
        <v>15.994683721494397</v>
      </c>
      <c r="AG37" s="2">
        <v>11.964240294070478</v>
      </c>
      <c r="AH37" s="2">
        <v>8.0750596945961348</v>
      </c>
      <c r="AI37" s="2">
        <v>4.3221908086543692</v>
      </c>
      <c r="AJ37" s="2">
        <v>1.6055259566290043</v>
      </c>
      <c r="AK37" s="2">
        <v>0.30271146237432411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</row>
    <row r="38" spans="1:42" x14ac:dyDescent="0.3">
      <c r="A38" s="2" t="str">
        <v/>
      </c>
      <c r="B38" s="2" t="str">
        <v/>
      </c>
      <c r="C38" s="2" t="str">
        <v/>
      </c>
      <c r="D38" s="2" t="str">
        <v/>
      </c>
      <c r="E38" s="2" t="str">
        <v/>
      </c>
      <c r="F38" s="2" t="str">
        <v/>
      </c>
      <c r="G38" s="2" t="str">
        <v/>
      </c>
      <c r="H38" s="2" t="str">
        <v/>
      </c>
      <c r="I38" s="2" t="str">
        <v/>
      </c>
      <c r="J38" s="2" t="str">
        <v/>
      </c>
      <c r="K38" s="2" t="str">
        <v/>
      </c>
      <c r="L38" s="2" t="str">
        <v/>
      </c>
      <c r="M38" s="2" t="str">
        <v/>
      </c>
      <c r="N38" s="2" t="str">
        <v/>
      </c>
      <c r="O38" s="2" t="str">
        <v/>
      </c>
      <c r="P38" s="2" t="str">
        <v/>
      </c>
      <c r="Q38" s="2" t="str">
        <v/>
      </c>
      <c r="R38" s="2" t="str">
        <v/>
      </c>
      <c r="S38" s="2" t="str">
        <v/>
      </c>
      <c r="T38" s="2" t="str">
        <v/>
      </c>
      <c r="U38" s="2" t="str">
        <v/>
      </c>
      <c r="V38" s="2" t="str">
        <v/>
      </c>
      <c r="W38" s="2" t="str">
        <v/>
      </c>
      <c r="X38" s="2">
        <v>56.696881098618675</v>
      </c>
      <c r="Y38" s="2">
        <v>48.519835955075493</v>
      </c>
      <c r="Z38" s="2">
        <v>40.802754689508433</v>
      </c>
      <c r="AA38" s="2">
        <v>33.592167459346925</v>
      </c>
      <c r="AB38" s="2">
        <v>26.952634527978578</v>
      </c>
      <c r="AC38" s="2">
        <v>20.975007099027739</v>
      </c>
      <c r="AD38" s="2">
        <v>15.994683721494383</v>
      </c>
      <c r="AE38" s="2">
        <v>11.964240294070464</v>
      </c>
      <c r="AF38" s="2">
        <v>8.0750596945961348</v>
      </c>
      <c r="AG38" s="2">
        <v>5.0495624308990141</v>
      </c>
      <c r="AH38" s="2">
        <v>2.831151206196389</v>
      </c>
      <c r="AI38" s="2">
        <v>1.1614065723800628</v>
      </c>
      <c r="AJ38" s="2">
        <v>0.20662895997979075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</row>
    <row r="39" spans="1:42" x14ac:dyDescent="0.3">
      <c r="A39" s="2" t="str">
        <v/>
      </c>
      <c r="B39" s="2" t="str">
        <v/>
      </c>
      <c r="C39" s="2" t="str">
        <v/>
      </c>
      <c r="D39" s="2" t="str">
        <v/>
      </c>
      <c r="E39" s="2" t="str">
        <v/>
      </c>
      <c r="F39" s="2" t="str">
        <v/>
      </c>
      <c r="G39" s="2" t="str">
        <v/>
      </c>
      <c r="H39" s="2" t="str">
        <v/>
      </c>
      <c r="I39" s="2" t="str">
        <v/>
      </c>
      <c r="J39" s="2" t="str">
        <v/>
      </c>
      <c r="K39" s="2" t="str">
        <v/>
      </c>
      <c r="L39" s="2" t="str">
        <v/>
      </c>
      <c r="M39" s="2" t="str">
        <v/>
      </c>
      <c r="N39" s="2" t="str">
        <v/>
      </c>
      <c r="O39" s="2" t="str">
        <v/>
      </c>
      <c r="P39" s="2" t="str">
        <v/>
      </c>
      <c r="Q39" s="2" t="str">
        <v/>
      </c>
      <c r="R39" s="2" t="str">
        <v/>
      </c>
      <c r="S39" s="2" t="str">
        <v/>
      </c>
      <c r="T39" s="2" t="str">
        <v/>
      </c>
      <c r="U39" s="2" t="str">
        <v/>
      </c>
      <c r="V39" s="2" t="str">
        <v/>
      </c>
      <c r="W39" s="2">
        <v>52.969725263230579</v>
      </c>
      <c r="X39" s="2">
        <v>45.023516766716817</v>
      </c>
      <c r="Y39" s="2">
        <v>37.562266976249013</v>
      </c>
      <c r="Z39" s="2">
        <v>30.640557178451246</v>
      </c>
      <c r="AA39" s="2">
        <v>24.33039354529193</v>
      </c>
      <c r="AB39" s="2">
        <v>18.719930396047836</v>
      </c>
      <c r="AC39" s="2">
        <v>13.891649031129942</v>
      </c>
      <c r="AD39" s="2">
        <v>9.8868394710489831</v>
      </c>
      <c r="AE39" s="2">
        <v>6.6721502156699586</v>
      </c>
      <c r="AF39" s="2">
        <v>4.1433663597793524</v>
      </c>
      <c r="AG39" s="2">
        <v>2.197935402138977</v>
      </c>
      <c r="AH39" s="2">
        <v>0.83746824197089276</v>
      </c>
      <c r="AI39" s="2">
        <v>0.14104364191381008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</row>
    <row r="40" spans="1:42" x14ac:dyDescent="0.3">
      <c r="A40" s="2" t="str">
        <v/>
      </c>
      <c r="B40" s="2" t="str">
        <v/>
      </c>
      <c r="C40" s="2" t="str">
        <v/>
      </c>
      <c r="D40" s="2" t="str">
        <v/>
      </c>
      <c r="E40" s="2" t="str">
        <v/>
      </c>
      <c r="F40" s="2" t="str">
        <v/>
      </c>
      <c r="G40" s="2" t="str">
        <v/>
      </c>
      <c r="H40" s="2" t="str">
        <v/>
      </c>
      <c r="I40" s="2" t="str">
        <v/>
      </c>
      <c r="J40" s="2" t="str">
        <v/>
      </c>
      <c r="K40" s="2" t="str">
        <v/>
      </c>
      <c r="L40" s="2" t="str">
        <v/>
      </c>
      <c r="M40" s="2" t="str">
        <v/>
      </c>
      <c r="N40" s="2" t="str">
        <v/>
      </c>
      <c r="O40" s="2" t="str">
        <v/>
      </c>
      <c r="P40" s="2" t="str">
        <v/>
      </c>
      <c r="Q40" s="2" t="str">
        <v/>
      </c>
      <c r="R40" s="2" t="str">
        <v/>
      </c>
      <c r="S40" s="2" t="str">
        <v/>
      </c>
      <c r="T40" s="2" t="str">
        <v/>
      </c>
      <c r="U40" s="2" t="str">
        <v/>
      </c>
      <c r="V40" s="2">
        <v>49.358247696369823</v>
      </c>
      <c r="W40" s="2">
        <v>41.655634918902173</v>
      </c>
      <c r="X40" s="2">
        <v>34.465836779735348</v>
      </c>
      <c r="Y40" s="2">
        <v>27.849639809472727</v>
      </c>
      <c r="Z40" s="2">
        <v>21.881289220148464</v>
      </c>
      <c r="AA40" s="2">
        <v>16.639967022897675</v>
      </c>
      <c r="AB40" s="2">
        <v>12.185652105668776</v>
      </c>
      <c r="AC40" s="2">
        <v>8.5299489195974356</v>
      </c>
      <c r="AD40" s="2">
        <v>5.6205416237529828</v>
      </c>
      <c r="AE40" s="2">
        <v>3.3641875991787207</v>
      </c>
      <c r="AF40" s="2">
        <v>1.6911333582945531</v>
      </c>
      <c r="AG40" s="2">
        <v>0.60216210370182699</v>
      </c>
      <c r="AH40" s="2">
        <v>9.6275512039826081E-2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</row>
    <row r="41" spans="1:42" x14ac:dyDescent="0.3">
      <c r="A41" s="2" t="str">
        <v/>
      </c>
      <c r="B41" s="2" t="str">
        <v/>
      </c>
      <c r="C41" s="2" t="str">
        <v/>
      </c>
      <c r="D41" s="2" t="str">
        <v/>
      </c>
      <c r="E41" s="2" t="str">
        <v/>
      </c>
      <c r="F41" s="2" t="str">
        <v/>
      </c>
      <c r="G41" s="2" t="str">
        <v/>
      </c>
      <c r="H41" s="2" t="str">
        <v/>
      </c>
      <c r="I41" s="2" t="str">
        <v/>
      </c>
      <c r="J41" s="2" t="str">
        <v/>
      </c>
      <c r="K41" s="2" t="str">
        <v/>
      </c>
      <c r="L41" s="2" t="str">
        <v/>
      </c>
      <c r="M41" s="2" t="str">
        <v/>
      </c>
      <c r="N41" s="2" t="str">
        <v/>
      </c>
      <c r="O41" s="2" t="str">
        <v/>
      </c>
      <c r="P41" s="2" t="str">
        <v/>
      </c>
      <c r="Q41" s="2" t="str">
        <v/>
      </c>
      <c r="R41" s="2" t="str">
        <v/>
      </c>
      <c r="S41" s="2" t="str">
        <v/>
      </c>
      <c r="T41" s="2" t="str">
        <v/>
      </c>
      <c r="U41" s="2">
        <v>45.868614775862454</v>
      </c>
      <c r="V41" s="2">
        <v>38.423066645634577</v>
      </c>
      <c r="W41" s="2">
        <v>31.519738733441745</v>
      </c>
      <c r="X41" s="2">
        <v>25.222800522539806</v>
      </c>
      <c r="Y41" s="2">
        <v>19.603806602108186</v>
      </c>
      <c r="Z41" s="2">
        <v>14.728626484476683</v>
      </c>
      <c r="AA41" s="2">
        <v>10.634557970056989</v>
      </c>
      <c r="AB41" s="2">
        <v>7.3101046813338852</v>
      </c>
      <c r="AC41" s="2">
        <v>4.6939969188026058</v>
      </c>
      <c r="AD41" s="2">
        <v>2.7055854650360698</v>
      </c>
      <c r="AE41" s="2">
        <v>1.2912212460691965</v>
      </c>
      <c r="AF41" s="2">
        <v>0.43185906009042008</v>
      </c>
      <c r="AG41" s="2">
        <v>6.5717065248462922E-2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</row>
    <row r="42" spans="1:42" x14ac:dyDescent="0.3">
      <c r="A42" s="2" t="str">
        <v/>
      </c>
      <c r="B42" s="2" t="str">
        <v/>
      </c>
      <c r="C42" s="2" t="str">
        <v/>
      </c>
      <c r="D42" s="2" t="str">
        <v/>
      </c>
      <c r="E42" s="2" t="str">
        <v/>
      </c>
      <c r="F42" s="2" t="str">
        <v/>
      </c>
      <c r="G42" s="2" t="str">
        <v/>
      </c>
      <c r="H42" s="2" t="str">
        <v/>
      </c>
      <c r="I42" s="2" t="str">
        <v/>
      </c>
      <c r="J42" s="2" t="str">
        <v/>
      </c>
      <c r="K42" s="2" t="str">
        <v/>
      </c>
      <c r="L42" s="2" t="str">
        <v/>
      </c>
      <c r="M42" s="2" t="str">
        <v/>
      </c>
      <c r="N42" s="2" t="str">
        <v/>
      </c>
      <c r="O42" s="2" t="str">
        <v/>
      </c>
      <c r="P42" s="2" t="str">
        <v/>
      </c>
      <c r="Q42" s="2" t="str">
        <v/>
      </c>
      <c r="R42" s="2" t="str">
        <v/>
      </c>
      <c r="S42" s="2" t="str">
        <v/>
      </c>
      <c r="T42" s="2">
        <v>42.506994739507157</v>
      </c>
      <c r="U42" s="2">
        <v>35.443706237553414</v>
      </c>
      <c r="V42" s="2">
        <v>31.047035496309917</v>
      </c>
      <c r="W42" s="2">
        <v>26.804463467442645</v>
      </c>
      <c r="X42" s="2">
        <v>22.710589152206495</v>
      </c>
      <c r="Y42" s="2">
        <v>18.76020085121516</v>
      </c>
      <c r="Z42" s="2">
        <v>14.948269529696603</v>
      </c>
      <c r="AA42" s="2">
        <v>11.269942415289179</v>
      </c>
      <c r="AB42" s="2">
        <v>7.7205368202285456</v>
      </c>
      <c r="AC42" s="2">
        <v>4.2955341800603293</v>
      </c>
      <c r="AD42" s="2">
        <v>0.99057430128974033</v>
      </c>
      <c r="AE42" s="2">
        <v>0.30900065701646096</v>
      </c>
      <c r="AF42" s="2">
        <v>4.4858059680681961E-2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</row>
    <row r="43" spans="1:42" x14ac:dyDescent="0.3">
      <c r="A43" s="2" t="str">
        <v/>
      </c>
      <c r="B43" s="2" t="str">
        <v/>
      </c>
      <c r="C43" s="2" t="str">
        <v/>
      </c>
      <c r="D43" s="2" t="str">
        <v/>
      </c>
      <c r="E43" s="2" t="str">
        <v/>
      </c>
      <c r="F43" s="2" t="str">
        <v/>
      </c>
      <c r="G43" s="2" t="str">
        <v/>
      </c>
      <c r="H43" s="2" t="str">
        <v/>
      </c>
      <c r="I43" s="2" t="str">
        <v/>
      </c>
      <c r="J43" s="2" t="str">
        <v/>
      </c>
      <c r="K43" s="2" t="str">
        <v/>
      </c>
      <c r="L43" s="2" t="str">
        <v/>
      </c>
      <c r="M43" s="2" t="str">
        <v/>
      </c>
      <c r="N43" s="2" t="str">
        <v/>
      </c>
      <c r="O43" s="2" t="str">
        <v/>
      </c>
      <c r="P43" s="2" t="str">
        <v/>
      </c>
      <c r="Q43" s="2" t="str">
        <v/>
      </c>
      <c r="R43" s="2" t="str">
        <v/>
      </c>
      <c r="S43" s="2">
        <v>39.279241638406752</v>
      </c>
      <c r="T43" s="2">
        <v>32.387602379881578</v>
      </c>
      <c r="U43" s="2">
        <v>26.804463467442616</v>
      </c>
      <c r="V43" s="2">
        <v>22.710589152206481</v>
      </c>
      <c r="W43" s="2">
        <v>18.76020085121516</v>
      </c>
      <c r="X43" s="2">
        <v>14.948269529696589</v>
      </c>
      <c r="Y43" s="2">
        <v>11.269942415289165</v>
      </c>
      <c r="Z43" s="2">
        <v>7.7205368202285314</v>
      </c>
      <c r="AA43" s="2">
        <v>4.2955341800603151</v>
      </c>
      <c r="AB43" s="2">
        <v>1.7064846716035458</v>
      </c>
      <c r="AC43" s="2">
        <v>0.73838973041410128</v>
      </c>
      <c r="AD43" s="2">
        <v>0.22062591760583322</v>
      </c>
      <c r="AE43" s="2">
        <v>3.0619832317644306E-2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</row>
    <row r="44" spans="1:42" x14ac:dyDescent="0.3">
      <c r="A44" s="2" t="str">
        <v/>
      </c>
      <c r="B44" s="2" t="str">
        <v/>
      </c>
      <c r="C44" s="2" t="str">
        <v/>
      </c>
      <c r="D44" s="2" t="str">
        <v/>
      </c>
      <c r="E44" s="2" t="str">
        <v/>
      </c>
      <c r="F44" s="2" t="str">
        <v/>
      </c>
      <c r="G44" s="2" t="str">
        <v/>
      </c>
      <c r="H44" s="2" t="str">
        <v/>
      </c>
      <c r="I44" s="2" t="str">
        <v/>
      </c>
      <c r="J44" s="2" t="str">
        <v/>
      </c>
      <c r="K44" s="2" t="str">
        <v/>
      </c>
      <c r="L44" s="2" t="str">
        <v/>
      </c>
      <c r="M44" s="2" t="str">
        <v/>
      </c>
      <c r="N44" s="2" t="str">
        <v/>
      </c>
      <c r="O44" s="2" t="str">
        <v/>
      </c>
      <c r="P44" s="2" t="str">
        <v/>
      </c>
      <c r="Q44" s="2" t="str">
        <v/>
      </c>
      <c r="R44" s="2">
        <v>36.190620010907026</v>
      </c>
      <c r="S44" s="2">
        <v>29.593895656948906</v>
      </c>
      <c r="T44" s="2">
        <v>23.622221353484807</v>
      </c>
      <c r="U44" s="2">
        <v>18.331131897162901</v>
      </c>
      <c r="V44" s="2">
        <v>13.763808148413741</v>
      </c>
      <c r="W44" s="2">
        <v>9.9382186277911373</v>
      </c>
      <c r="X44" s="2">
        <v>6.8382082242027655</v>
      </c>
      <c r="Y44" s="2">
        <v>4.4157714467643343</v>
      </c>
      <c r="Z44" s="2">
        <v>2.6053753787295402</v>
      </c>
      <c r="AA44" s="2">
        <v>1.3403601095350572</v>
      </c>
      <c r="AB44" s="2">
        <v>0.55384672520261713</v>
      </c>
      <c r="AC44" s="2">
        <v>0.15722176294978543</v>
      </c>
      <c r="AD44" s="2">
        <v>2.0900906945924353E-2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</row>
    <row r="45" spans="1:42" x14ac:dyDescent="0.3">
      <c r="A45" s="2" t="str">
        <v/>
      </c>
      <c r="B45" s="2" t="str">
        <v/>
      </c>
      <c r="C45" s="2" t="str">
        <v/>
      </c>
      <c r="D45" s="2" t="str">
        <v/>
      </c>
      <c r="E45" s="2" t="str">
        <v/>
      </c>
      <c r="F45" s="2" t="str">
        <v/>
      </c>
      <c r="G45" s="2" t="str">
        <v/>
      </c>
      <c r="H45" s="2" t="str">
        <v/>
      </c>
      <c r="I45" s="2" t="str">
        <v/>
      </c>
      <c r="J45" s="2" t="str">
        <v/>
      </c>
      <c r="K45" s="2" t="str">
        <v/>
      </c>
      <c r="L45" s="2" t="str">
        <v/>
      </c>
      <c r="M45" s="2" t="str">
        <v/>
      </c>
      <c r="N45" s="2" t="str">
        <v/>
      </c>
      <c r="O45" s="2" t="str">
        <v/>
      </c>
      <c r="P45" s="2" t="str">
        <v/>
      </c>
      <c r="Q45" s="2">
        <v>33.245589006292562</v>
      </c>
      <c r="R45" s="2">
        <v>26.953604840977064</v>
      </c>
      <c r="S45" s="2">
        <v>21.308301821899271</v>
      </c>
      <c r="T45" s="2">
        <v>16.357265138197885</v>
      </c>
      <c r="U45" s="2">
        <v>12.131030973294544</v>
      </c>
      <c r="V45" s="2">
        <v>8.6329478118724232</v>
      </c>
      <c r="W45" s="2">
        <v>5.8348799833572151</v>
      </c>
      <c r="X45" s="2">
        <v>3.6828442390071805</v>
      </c>
      <c r="Y45" s="2">
        <v>2.1098990878991182</v>
      </c>
      <c r="Z45" s="2">
        <v>1.0459661750045455</v>
      </c>
      <c r="AA45" s="2">
        <v>0.41349650267758514</v>
      </c>
      <c r="AB45" s="2">
        <v>0.11184001934964524</v>
      </c>
      <c r="AC45" s="2">
        <v>1.42668289829419E-2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</row>
    <row r="46" spans="1:42" x14ac:dyDescent="0.3">
      <c r="A46" s="2" t="str">
        <v/>
      </c>
      <c r="B46" s="2" t="str">
        <v/>
      </c>
      <c r="C46" s="2" t="str">
        <v/>
      </c>
      <c r="D46" s="2" t="str">
        <v/>
      </c>
      <c r="E46" s="2" t="str">
        <v/>
      </c>
      <c r="F46" s="2" t="str">
        <v/>
      </c>
      <c r="G46" s="2" t="str">
        <v/>
      </c>
      <c r="H46" s="2" t="str">
        <v/>
      </c>
      <c r="I46" s="2" t="str">
        <v/>
      </c>
      <c r="J46" s="2" t="str">
        <v/>
      </c>
      <c r="K46" s="2" t="str">
        <v/>
      </c>
      <c r="L46" s="2" t="str">
        <v/>
      </c>
      <c r="M46" s="2" t="str">
        <v/>
      </c>
      <c r="N46" s="2" t="str">
        <v/>
      </c>
      <c r="O46" s="2" t="str">
        <v/>
      </c>
      <c r="P46" s="2">
        <v>30.447651880061617</v>
      </c>
      <c r="Q46" s="2">
        <v>24.468179730247712</v>
      </c>
      <c r="R46" s="2">
        <v>19.152608951060582</v>
      </c>
      <c r="S46" s="2">
        <v>14.539050892452266</v>
      </c>
      <c r="T46" s="2">
        <v>10.645270359429549</v>
      </c>
      <c r="U46" s="2">
        <v>7.4615519098573468</v>
      </c>
      <c r="V46" s="2">
        <v>4.9500274625887517</v>
      </c>
      <c r="W46" s="2">
        <v>3.0518085485992867</v>
      </c>
      <c r="X46" s="2">
        <v>1.6973509892795065</v>
      </c>
      <c r="Y46" s="2">
        <v>0.81139780001364759</v>
      </c>
      <c r="Z46" s="2">
        <v>0.30742221654725055</v>
      </c>
      <c r="AA46" s="2">
        <v>7.9427595973867032E-2</v>
      </c>
      <c r="AB46" s="2">
        <v>9.7384486594349201E-3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</row>
    <row r="47" spans="1:42" x14ac:dyDescent="0.3">
      <c r="A47" s="2" t="str">
        <v/>
      </c>
      <c r="B47" s="2" t="str">
        <v/>
      </c>
      <c r="C47" s="2" t="str">
        <v/>
      </c>
      <c r="D47" s="2" t="str">
        <v/>
      </c>
      <c r="E47" s="2" t="str">
        <v/>
      </c>
      <c r="F47" s="2" t="str">
        <v/>
      </c>
      <c r="G47" s="2" t="str">
        <v/>
      </c>
      <c r="H47" s="2" t="str">
        <v/>
      </c>
      <c r="I47" s="2" t="str">
        <v/>
      </c>
      <c r="J47" s="2" t="str">
        <v/>
      </c>
      <c r="K47" s="2" t="str">
        <v/>
      </c>
      <c r="L47" s="2" t="str">
        <v/>
      </c>
      <c r="M47" s="2" t="str">
        <v/>
      </c>
      <c r="N47" s="2" t="str">
        <v/>
      </c>
      <c r="O47" s="2">
        <v>27.799267374064506</v>
      </c>
      <c r="P47" s="2">
        <v>22.137833128510422</v>
      </c>
      <c r="Q47" s="2">
        <v>17.152691576273284</v>
      </c>
      <c r="R47" s="2">
        <v>12.871572424177439</v>
      </c>
      <c r="S47" s="2">
        <v>9.2998875884202956</v>
      </c>
      <c r="T47" s="2">
        <v>6.416451091204288</v>
      </c>
      <c r="U47" s="2">
        <v>4.1753385838496637</v>
      </c>
      <c r="V47" s="2">
        <v>2.5132030867573554</v>
      </c>
      <c r="W47" s="2">
        <v>1.3569971938098129</v>
      </c>
      <c r="X47" s="2">
        <v>0.62601567775594791</v>
      </c>
      <c r="Y47" s="2">
        <v>0.22769444272295872</v>
      </c>
      <c r="Z47" s="2">
        <v>5.6323468312151764E-2</v>
      </c>
      <c r="AA47" s="2">
        <v>6.6474044376533762E-3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</row>
    <row r="48" spans="1:42" x14ac:dyDescent="0.3">
      <c r="A48" s="2" t="str">
        <v/>
      </c>
      <c r="B48" s="2" t="str">
        <v/>
      </c>
      <c r="C48" s="2" t="str">
        <v/>
      </c>
      <c r="D48" s="2" t="str">
        <v/>
      </c>
      <c r="E48" s="2" t="str">
        <v/>
      </c>
      <c r="F48" s="2" t="str">
        <v/>
      </c>
      <c r="G48" s="2" t="str">
        <v/>
      </c>
      <c r="H48" s="2" t="str">
        <v/>
      </c>
      <c r="I48" s="2" t="str">
        <v/>
      </c>
      <c r="J48" s="2" t="str">
        <v/>
      </c>
      <c r="K48" s="2" t="str">
        <v/>
      </c>
      <c r="L48" s="2" t="str">
        <v/>
      </c>
      <c r="M48" s="2" t="str">
        <v/>
      </c>
      <c r="N48" s="2">
        <v>25.301813851695076</v>
      </c>
      <c r="O48" s="2">
        <v>19.961618551252254</v>
      </c>
      <c r="P48" s="2">
        <v>15.305104827973814</v>
      </c>
      <c r="Q48" s="2">
        <v>11.349239275309454</v>
      </c>
      <c r="R48" s="2">
        <v>8.0878325051824138</v>
      </c>
      <c r="S48" s="2">
        <v>5.4896981804670544</v>
      </c>
      <c r="T48" s="2">
        <v>3.5020627378776039</v>
      </c>
      <c r="U48" s="2">
        <v>2.0573192496892059</v>
      </c>
      <c r="V48" s="2">
        <v>1.0785814792600725</v>
      </c>
      <c r="W48" s="2">
        <v>0.48057662421554515</v>
      </c>
      <c r="X48" s="2">
        <v>0.16806280713942795</v>
      </c>
      <c r="Y48" s="2">
        <v>3.9884059428337032E-2</v>
      </c>
      <c r="Z48" s="2">
        <v>4.5374768921662961E-3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</row>
    <row r="49" spans="1:42" x14ac:dyDescent="0.3">
      <c r="A49" s="2" t="str">
        <v/>
      </c>
      <c r="B49" s="2" t="str">
        <v/>
      </c>
      <c r="C49" s="2" t="str">
        <v/>
      </c>
      <c r="D49" s="2" t="str">
        <v/>
      </c>
      <c r="E49" s="2" t="str">
        <v/>
      </c>
      <c r="F49" s="2" t="str">
        <v/>
      </c>
      <c r="G49" s="2" t="str">
        <v/>
      </c>
      <c r="H49" s="2" t="str">
        <v/>
      </c>
      <c r="I49" s="2" t="str">
        <v/>
      </c>
      <c r="J49" s="2" t="str">
        <v/>
      </c>
      <c r="K49" s="2" t="str">
        <v/>
      </c>
      <c r="L49" s="2" t="str">
        <v/>
      </c>
      <c r="M49" s="2">
        <v>22.955594753182407</v>
      </c>
      <c r="N49" s="2">
        <v>17.937524686523176</v>
      </c>
      <c r="O49" s="2">
        <v>13.605540824651328</v>
      </c>
      <c r="P49" s="2">
        <v>9.9658781402473391</v>
      </c>
      <c r="Q49" s="2">
        <v>7.0016669404789589</v>
      </c>
      <c r="R49" s="2">
        <v>4.6730078394897241</v>
      </c>
      <c r="S49" s="2">
        <v>2.9211734862813925</v>
      </c>
      <c r="T49" s="2">
        <v>1.6745226152795283</v>
      </c>
      <c r="U49" s="2">
        <v>0.85261437363075632</v>
      </c>
      <c r="V49" s="2">
        <v>0.36722802667864984</v>
      </c>
      <c r="W49" s="2">
        <v>0.12365768984388391</v>
      </c>
      <c r="X49" s="2">
        <v>2.8206187753728591E-2</v>
      </c>
      <c r="Y49" s="2">
        <v>3.0972534829265177E-3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</row>
    <row r="50" spans="1:42" x14ac:dyDescent="0.3">
      <c r="A50" s="2" t="str">
        <v/>
      </c>
      <c r="B50" s="2" t="str">
        <v/>
      </c>
      <c r="C50" s="2" t="str">
        <v/>
      </c>
      <c r="D50" s="2" t="str">
        <v/>
      </c>
      <c r="E50" s="2" t="str">
        <v/>
      </c>
      <c r="F50" s="2" t="str">
        <v/>
      </c>
      <c r="G50" s="2" t="str">
        <v/>
      </c>
      <c r="H50" s="2" t="str">
        <v/>
      </c>
      <c r="I50" s="2" t="str">
        <v/>
      </c>
      <c r="J50" s="2" t="str">
        <v/>
      </c>
      <c r="K50" s="2" t="str">
        <v/>
      </c>
      <c r="L50" s="2">
        <v>20.759874113395426</v>
      </c>
      <c r="M50" s="2">
        <v>16.062575717424597</v>
      </c>
      <c r="N50" s="2">
        <v>12.048941774836754</v>
      </c>
      <c r="O50" s="2">
        <v>8.7148082537269378</v>
      </c>
      <c r="P50" s="2">
        <v>6.0336068583943412</v>
      </c>
      <c r="Q50" s="2">
        <v>3.9578391103799926</v>
      </c>
      <c r="R50" s="2">
        <v>2.4235661624420692</v>
      </c>
      <c r="S50" s="2">
        <v>1.3555260147454771</v>
      </c>
      <c r="T50" s="2">
        <v>0.67054234695615322</v>
      </c>
      <c r="U50" s="2">
        <v>0.27941906784234044</v>
      </c>
      <c r="V50" s="2">
        <v>9.0722059933239091E-2</v>
      </c>
      <c r="W50" s="2">
        <v>1.9923386573178402E-2</v>
      </c>
      <c r="X50" s="2">
        <v>2.1141659484948993E-3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</row>
    <row r="51" spans="1:42" x14ac:dyDescent="0.3">
      <c r="A51" s="2" t="str">
        <v/>
      </c>
      <c r="B51" s="2" t="str">
        <v/>
      </c>
      <c r="C51" s="2" t="str">
        <v/>
      </c>
      <c r="D51" s="2" t="str">
        <v/>
      </c>
      <c r="E51" s="2" t="str">
        <v/>
      </c>
      <c r="F51" s="2" t="str">
        <v/>
      </c>
      <c r="G51" s="2" t="str">
        <v/>
      </c>
      <c r="H51" s="2" t="str">
        <v/>
      </c>
      <c r="I51" s="2" t="str">
        <v/>
      </c>
      <c r="J51" s="2" t="str">
        <v/>
      </c>
      <c r="K51" s="2">
        <v>18.712932574810331</v>
      </c>
      <c r="L51" s="2">
        <v>14.332931564699241</v>
      </c>
      <c r="M51" s="2">
        <v>10.629600201860256</v>
      </c>
      <c r="N51" s="2">
        <v>7.5889140342322392</v>
      </c>
      <c r="O51" s="2">
        <v>5.1755892003819302</v>
      </c>
      <c r="P51" s="2">
        <v>3.3355155550390356</v>
      </c>
      <c r="Q51" s="2">
        <v>2.0002591731165391</v>
      </c>
      <c r="R51" s="2">
        <v>1.091599114754698</v>
      </c>
      <c r="S51" s="2">
        <v>0.52482096923877009</v>
      </c>
      <c r="T51" s="2">
        <v>0.211767154147744</v>
      </c>
      <c r="U51" s="2">
        <v>6.6381215133340207E-2</v>
      </c>
      <c r="V51" s="2">
        <v>1.4056930038644926E-2</v>
      </c>
      <c r="W51" s="2">
        <v>1.4431165167508445E-3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</row>
    <row r="52" spans="1:42" x14ac:dyDescent="0.3">
      <c r="A52" s="2" t="str">
        <v/>
      </c>
      <c r="B52" s="2" t="str">
        <v/>
      </c>
      <c r="C52" s="2" t="str">
        <v/>
      </c>
      <c r="D52" s="2" t="str">
        <v/>
      </c>
      <c r="E52" s="2" t="str">
        <v/>
      </c>
      <c r="F52" s="2" t="str">
        <v/>
      </c>
      <c r="G52" s="2" t="str">
        <v/>
      </c>
      <c r="H52" s="2" t="str">
        <v/>
      </c>
      <c r="I52" s="2" t="str">
        <v/>
      </c>
      <c r="J52" s="2">
        <v>16.812136664080711</v>
      </c>
      <c r="K52" s="2">
        <v>12.743985837666211</v>
      </c>
      <c r="L52" s="2">
        <v>9.3412521096448629</v>
      </c>
      <c r="M52" s="2">
        <v>6.5807231892337459</v>
      </c>
      <c r="N52" s="2">
        <v>4.4193618746288132</v>
      </c>
      <c r="O52" s="2">
        <v>2.7973652344575699</v>
      </c>
      <c r="P52" s="2">
        <v>1.6425769249430509</v>
      </c>
      <c r="Q52" s="2">
        <v>0.87471204829032534</v>
      </c>
      <c r="R52" s="2">
        <v>0.40891671348611747</v>
      </c>
      <c r="S52" s="2">
        <v>0.15990603411961793</v>
      </c>
      <c r="T52" s="2">
        <v>4.8451229508167687E-2</v>
      </c>
      <c r="U52" s="2">
        <v>9.9073574674929648E-3</v>
      </c>
      <c r="V52" s="2">
        <v>9.8506235161043443E-4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</row>
    <row r="53" spans="1:42" x14ac:dyDescent="0.3">
      <c r="A53" s="2" t="str">
        <v/>
      </c>
      <c r="B53" s="2" t="str">
        <v/>
      </c>
      <c r="C53" s="2" t="str">
        <v/>
      </c>
      <c r="D53" s="2" t="str">
        <v/>
      </c>
      <c r="E53" s="2" t="str">
        <v/>
      </c>
      <c r="F53" s="2" t="str">
        <v/>
      </c>
      <c r="G53" s="2" t="str">
        <v/>
      </c>
      <c r="H53" s="2" t="str">
        <v/>
      </c>
      <c r="I53" s="2">
        <v>15.054016431749536</v>
      </c>
      <c r="J53" s="2">
        <v>11.290461606328812</v>
      </c>
      <c r="K53" s="2">
        <v>8.1771682093332902</v>
      </c>
      <c r="L53" s="2">
        <v>5.6824939055313521</v>
      </c>
      <c r="M53" s="2">
        <v>3.7565906484878004</v>
      </c>
      <c r="N53" s="2">
        <v>2.3348641722442487</v>
      </c>
      <c r="O53" s="2">
        <v>1.3423010132369715</v>
      </c>
      <c r="P53" s="2">
        <v>0.69761847795767518</v>
      </c>
      <c r="Q53" s="2">
        <v>0.31725969363577605</v>
      </c>
      <c r="R53" s="2">
        <v>0.12033278486062923</v>
      </c>
      <c r="S53" s="2">
        <v>3.5283266670643076E-2</v>
      </c>
      <c r="T53" s="2">
        <v>6.975795749428363E-3</v>
      </c>
      <c r="U53" s="2">
        <v>6.7239742965800376E-4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</row>
    <row r="54" spans="1:42" x14ac:dyDescent="0.3">
      <c r="A54" s="2" t="str">
        <v/>
      </c>
      <c r="B54" s="2" t="str">
        <v/>
      </c>
      <c r="C54" s="2" t="str">
        <v/>
      </c>
      <c r="D54" s="2" t="str">
        <v/>
      </c>
      <c r="E54" s="2" t="str">
        <v/>
      </c>
      <c r="F54" s="2" t="str">
        <v/>
      </c>
      <c r="G54" s="2" t="str">
        <v/>
      </c>
      <c r="H54" s="2">
        <v>13.434348479358214</v>
      </c>
      <c r="I54" s="2">
        <v>9.9665061598731626</v>
      </c>
      <c r="J54" s="2">
        <v>7.1302466404461331</v>
      </c>
      <c r="K54" s="2">
        <v>4.8863109320857996</v>
      </c>
      <c r="L54" s="2">
        <v>3.1789745322169898</v>
      </c>
      <c r="M54" s="2">
        <v>1.9397702048920873</v>
      </c>
      <c r="N54" s="2">
        <v>1.0917835727436083</v>
      </c>
      <c r="O54" s="2">
        <v>0.55388762384209356</v>
      </c>
      <c r="P54" s="2">
        <v>0.24516581919369254</v>
      </c>
      <c r="Q54" s="2">
        <v>9.0263975203757355E-2</v>
      </c>
      <c r="R54" s="2">
        <v>2.5639286703398958E-2</v>
      </c>
      <c r="S54" s="2">
        <v>4.9070922219576285E-3</v>
      </c>
      <c r="T54" s="2">
        <v>4.5897430012581641E-4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</row>
    <row r="55" spans="1:42" x14ac:dyDescent="0.3">
      <c r="A55" s="2" t="str">
        <v/>
      </c>
      <c r="B55" s="2" t="str">
        <v/>
      </c>
      <c r="C55" s="2" t="str">
        <v/>
      </c>
      <c r="D55" s="2" t="str">
        <v/>
      </c>
      <c r="E55" s="2" t="str">
        <v/>
      </c>
      <c r="F55" s="2" t="str">
        <v/>
      </c>
      <c r="G55" s="2">
        <v>11.948242738844964</v>
      </c>
      <c r="H55" s="2">
        <v>8.7657860014599649</v>
      </c>
      <c r="I55" s="2">
        <v>6.1931086207941926</v>
      </c>
      <c r="J55" s="2">
        <v>4.1841876852065267</v>
      </c>
      <c r="K55" s="2">
        <v>2.6783610125200128</v>
      </c>
      <c r="L55" s="2">
        <v>1.6042380691381193</v>
      </c>
      <c r="M55" s="2">
        <v>0.88402212968395111</v>
      </c>
      <c r="N55" s="2">
        <v>0.43789631044761418</v>
      </c>
      <c r="O55" s="2">
        <v>0.18874271718534213</v>
      </c>
      <c r="P55" s="2">
        <v>6.7506480181942233E-2</v>
      </c>
      <c r="Q55" s="2">
        <v>1.8594218516270675E-2</v>
      </c>
      <c r="R55" s="2">
        <v>3.4488389661928771E-3</v>
      </c>
      <c r="S55" s="2">
        <v>3.1329300036606034E-4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</row>
    <row r="56" spans="1:42" x14ac:dyDescent="0.3">
      <c r="A56" s="2" t="str">
        <v/>
      </c>
      <c r="B56" s="2" t="str">
        <v/>
      </c>
      <c r="C56" s="2" t="str">
        <v/>
      </c>
      <c r="D56" s="2" t="str">
        <v/>
      </c>
      <c r="E56" s="2" t="str">
        <v/>
      </c>
      <c r="F56" s="2">
        <v>10.590232118037349</v>
      </c>
      <c r="G56" s="2">
        <v>7.6815828047925239</v>
      </c>
      <c r="H56" s="2">
        <v>5.3581966222261173</v>
      </c>
      <c r="I56" s="2">
        <v>3.56817001563638</v>
      </c>
      <c r="J56" s="2">
        <v>2.2468535587814977</v>
      </c>
      <c r="K56" s="2">
        <v>1.3209104302077153</v>
      </c>
      <c r="L56" s="2">
        <v>0.71269895044357623</v>
      </c>
      <c r="M56" s="2">
        <v>0.34479190716849828</v>
      </c>
      <c r="N56" s="2">
        <v>0.14478992474645058</v>
      </c>
      <c r="O56" s="2">
        <v>5.0345179870538111E-2</v>
      </c>
      <c r="P56" s="2">
        <v>1.3459852217020878E-2</v>
      </c>
      <c r="Q56" s="2">
        <v>2.4219296273161957E-3</v>
      </c>
      <c r="R56" s="2">
        <v>2.1385185194783721E-4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</row>
    <row r="57" spans="1:42" x14ac:dyDescent="0.3">
      <c r="A57" s="2" t="str">
        <v/>
      </c>
      <c r="B57" s="2" t="str">
        <v/>
      </c>
      <c r="C57" s="2" t="str">
        <v/>
      </c>
      <c r="D57" s="2" t="str">
        <v/>
      </c>
      <c r="E57" s="2">
        <v>9.3543643833630732</v>
      </c>
      <c r="F57" s="2">
        <v>6.7068902568441411</v>
      </c>
      <c r="G57" s="2">
        <v>4.6178732710318622</v>
      </c>
      <c r="H57" s="2">
        <v>3.0304368219438449</v>
      </c>
      <c r="I57" s="2">
        <v>1.8769055987184966</v>
      </c>
      <c r="J57" s="2">
        <v>1.082982859282827</v>
      </c>
      <c r="K57" s="2">
        <v>0.57219000966675748</v>
      </c>
      <c r="L57" s="2">
        <v>0.27043587505653371</v>
      </c>
      <c r="M57" s="2">
        <v>0.11070057796269074</v>
      </c>
      <c r="N57" s="2">
        <v>3.7447719632276388E-2</v>
      </c>
      <c r="O57" s="2">
        <v>9.7262004340322866E-3</v>
      </c>
      <c r="P57" s="2">
        <v>1.6994559369242677E-3</v>
      </c>
      <c r="Q57" s="2">
        <v>1.4597394301208265E-4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</row>
    <row r="58" spans="1:42" x14ac:dyDescent="0.3">
      <c r="A58" s="2" t="str">
        <v/>
      </c>
      <c r="B58" s="2" t="str">
        <v/>
      </c>
      <c r="C58" s="2" t="str">
        <v/>
      </c>
      <c r="D58" s="2">
        <v>8.2342955678736658</v>
      </c>
      <c r="E58" s="2">
        <v>5.8345108949107116</v>
      </c>
      <c r="F58" s="2">
        <v>3.9645183217891162</v>
      </c>
      <c r="G58" s="2">
        <v>2.5633930240889296</v>
      </c>
      <c r="H58" s="2">
        <v>1.5613971800069171</v>
      </c>
      <c r="I58" s="2">
        <v>0.88424332135200456</v>
      </c>
      <c r="J58" s="2">
        <v>0.45754963815565897</v>
      </c>
      <c r="K58" s="2">
        <v>0.21133600913756428</v>
      </c>
      <c r="L58" s="2">
        <v>8.4369201870380786E-2</v>
      </c>
      <c r="M58" s="2">
        <v>2.7785299183976059E-2</v>
      </c>
      <c r="N58" s="2">
        <v>7.0166891063880958E-3</v>
      </c>
      <c r="O58" s="2">
        <v>1.1916160941887327E-3</v>
      </c>
      <c r="P58" s="2">
        <v>9.9640904880694234E-5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</row>
    <row r="59" spans="1:42" x14ac:dyDescent="0.3">
      <c r="A59" s="2" t="str">
        <v/>
      </c>
      <c r="B59" s="2" t="str">
        <v/>
      </c>
      <c r="C59" s="2">
        <v>7.2233839278814074</v>
      </c>
      <c r="D59" s="2">
        <v>5.0571513894601487</v>
      </c>
      <c r="E59" s="2">
        <v>3.3906207393229408</v>
      </c>
      <c r="F59" s="2">
        <v>2.1597512507103707</v>
      </c>
      <c r="G59" s="2">
        <v>1.2936924743641998</v>
      </c>
      <c r="H59" s="2">
        <v>0.71908850538054203</v>
      </c>
      <c r="I59" s="2">
        <v>0.36447700009022643</v>
      </c>
      <c r="J59" s="2">
        <v>0.16457372719756552</v>
      </c>
      <c r="K59" s="2">
        <v>6.4108218209350656E-2</v>
      </c>
      <c r="L59" s="2">
        <v>2.0567828565444052E-2</v>
      </c>
      <c r="M59" s="2">
        <v>5.0541577654132459E-3</v>
      </c>
      <c r="N59" s="2">
        <v>8.3494470898631335E-4</v>
      </c>
      <c r="O59" s="2">
        <v>6.8014261453646998E-5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</row>
    <row r="60" spans="1:42" x14ac:dyDescent="0.3">
      <c r="A60" s="2" t="str">
        <v/>
      </c>
      <c r="B60" s="2">
        <v>6.3147831621680544</v>
      </c>
      <c r="C60" s="2">
        <v>4.3675143184833702</v>
      </c>
      <c r="D60" s="2">
        <v>2.8888630575166308</v>
      </c>
      <c r="E60" s="2">
        <v>1.8125996932766462</v>
      </c>
      <c r="F60" s="2">
        <v>1.0676779416696349</v>
      </c>
      <c r="G60" s="2">
        <v>0.58252039185560556</v>
      </c>
      <c r="H60" s="2">
        <v>0.28927008963744222</v>
      </c>
      <c r="I60" s="2">
        <v>0.1277311142849705</v>
      </c>
      <c r="J60" s="2">
        <v>4.8574351509045127E-2</v>
      </c>
      <c r="K60" s="2">
        <v>1.5191540463523185E-2</v>
      </c>
      <c r="L60" s="2">
        <v>3.6352203152626209E-3</v>
      </c>
      <c r="M60" s="2">
        <v>5.8464135662827325E-4</v>
      </c>
      <c r="N60" s="2">
        <v>4.642611151137131E-5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</row>
    <row r="61" spans="1:42" x14ac:dyDescent="0.3">
      <c r="A61" s="2">
        <v>5.5015333548537377</v>
      </c>
      <c r="B61" s="2">
        <v>3.758384347423624</v>
      </c>
      <c r="C61" s="2">
        <v>2.452195642334329</v>
      </c>
      <c r="D61" s="2">
        <v>1.5154547386125945</v>
      </c>
      <c r="E61" s="2">
        <v>0.87778225844667934</v>
      </c>
      <c r="F61" s="2">
        <v>0.47012693517646148</v>
      </c>
      <c r="G61" s="2">
        <v>0.22877216943511969</v>
      </c>
      <c r="H61" s="2">
        <v>9.8820999732577505E-2</v>
      </c>
      <c r="I61" s="2">
        <v>3.6705130091015697E-2</v>
      </c>
      <c r="J61" s="2">
        <v>1.1197136396825578E-2</v>
      </c>
      <c r="K61" s="2">
        <v>2.6110351267843042E-3</v>
      </c>
      <c r="L61" s="2">
        <v>4.0911575478205786E-4</v>
      </c>
      <c r="M61" s="2">
        <v>3.1690174736885412E-5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</row>
    <row r="65" spans="1:42" x14ac:dyDescent="0.3">
      <c r="A65" s="2" t="str">
        <f t="array" ref="A65:AP106">TicketBinTreeOriginal(1,1,2,B4,B5,B6,B8,B11,B12,B13,B14,B15,B16,B17)</f>
        <v/>
      </c>
      <c r="B65" s="2" t="str">
        <v/>
      </c>
      <c r="C65" s="2" t="str">
        <v/>
      </c>
      <c r="D65" s="2" t="str">
        <v/>
      </c>
      <c r="E65" s="2" t="str">
        <v/>
      </c>
      <c r="F65" s="2" t="str">
        <v/>
      </c>
      <c r="G65" s="2" t="str">
        <v/>
      </c>
      <c r="H65" s="2" t="str">
        <v/>
      </c>
      <c r="I65" s="2" t="str">
        <v/>
      </c>
      <c r="J65" s="2" t="str">
        <v/>
      </c>
      <c r="K65" s="2" t="str">
        <v/>
      </c>
      <c r="L65" s="2" t="str">
        <v/>
      </c>
      <c r="M65" s="2" t="str">
        <v/>
      </c>
      <c r="N65" s="2" t="str">
        <v/>
      </c>
      <c r="O65" s="2" t="str">
        <v/>
      </c>
      <c r="P65" s="2" t="str">
        <v/>
      </c>
      <c r="Q65" s="2" t="str">
        <v/>
      </c>
      <c r="R65" s="2" t="str">
        <v/>
      </c>
      <c r="S65" s="2" t="str">
        <v/>
      </c>
      <c r="T65" s="2" t="str">
        <v/>
      </c>
      <c r="U65" s="2" t="str">
        <v/>
      </c>
      <c r="V65" s="2" t="str">
        <v/>
      </c>
      <c r="W65" s="2" t="str">
        <v/>
      </c>
      <c r="X65" s="2" t="str">
        <v/>
      </c>
      <c r="Y65" s="2" t="str">
        <v/>
      </c>
      <c r="Z65" s="2" t="str">
        <v/>
      </c>
      <c r="AA65" s="2" t="str">
        <v/>
      </c>
      <c r="AB65" s="2" t="str">
        <v/>
      </c>
      <c r="AC65" s="2" t="str">
        <v/>
      </c>
      <c r="AD65" s="2" t="str">
        <v/>
      </c>
      <c r="AE65" s="2" t="str">
        <v/>
      </c>
      <c r="AF65" s="2" t="str">
        <v/>
      </c>
      <c r="AG65" s="2" t="str">
        <v/>
      </c>
      <c r="AH65" s="2" t="str">
        <v/>
      </c>
      <c r="AI65" s="2" t="str">
        <v/>
      </c>
      <c r="AJ65" s="2" t="str">
        <v/>
      </c>
      <c r="AK65" s="2" t="str">
        <v/>
      </c>
      <c r="AL65" s="2" t="str">
        <v/>
      </c>
      <c r="AM65" s="2" t="str">
        <v/>
      </c>
      <c r="AN65" s="2" t="str">
        <v/>
      </c>
      <c r="AO65" s="2" t="str">
        <v/>
      </c>
      <c r="AP65" s="2">
        <v>256.48969565009151</v>
      </c>
    </row>
    <row r="66" spans="1:42" x14ac:dyDescent="0.3">
      <c r="A66" s="2" t="str">
        <v/>
      </c>
      <c r="B66" s="2" t="str">
        <v/>
      </c>
      <c r="C66" s="2" t="str">
        <v/>
      </c>
      <c r="D66" s="2" t="str">
        <v/>
      </c>
      <c r="E66" s="2" t="str">
        <v/>
      </c>
      <c r="F66" s="2" t="str">
        <v/>
      </c>
      <c r="G66" s="2" t="str">
        <v/>
      </c>
      <c r="H66" s="2" t="str">
        <v/>
      </c>
      <c r="I66" s="2" t="str">
        <v/>
      </c>
      <c r="J66" s="2" t="str">
        <v/>
      </c>
      <c r="K66" s="2" t="str">
        <v/>
      </c>
      <c r="L66" s="2" t="str">
        <v/>
      </c>
      <c r="M66" s="2" t="str">
        <v/>
      </c>
      <c r="N66" s="2" t="str">
        <v/>
      </c>
      <c r="O66" s="2" t="str">
        <v/>
      </c>
      <c r="P66" s="2" t="str">
        <v/>
      </c>
      <c r="Q66" s="2" t="str">
        <v/>
      </c>
      <c r="R66" s="2" t="str">
        <v/>
      </c>
      <c r="S66" s="2" t="str">
        <v/>
      </c>
      <c r="T66" s="2" t="str">
        <v/>
      </c>
      <c r="U66" s="2" t="str">
        <v/>
      </c>
      <c r="V66" s="2" t="str">
        <v/>
      </c>
      <c r="W66" s="2" t="str">
        <v/>
      </c>
      <c r="X66" s="2" t="str">
        <v/>
      </c>
      <c r="Y66" s="2" t="str">
        <v/>
      </c>
      <c r="Z66" s="2" t="str">
        <v/>
      </c>
      <c r="AA66" s="2" t="str">
        <v/>
      </c>
      <c r="AB66" s="2" t="str">
        <v/>
      </c>
      <c r="AC66" s="2" t="str">
        <v/>
      </c>
      <c r="AD66" s="2" t="str">
        <v/>
      </c>
      <c r="AE66" s="2" t="str">
        <v/>
      </c>
      <c r="AF66" s="2" t="str">
        <v/>
      </c>
      <c r="AG66" s="2" t="str">
        <v/>
      </c>
      <c r="AH66" s="2" t="str">
        <v/>
      </c>
      <c r="AI66" s="2" t="str">
        <v/>
      </c>
      <c r="AJ66" s="2" t="str">
        <v/>
      </c>
      <c r="AK66" s="2" t="str">
        <v/>
      </c>
      <c r="AL66" s="2" t="str">
        <v/>
      </c>
      <c r="AM66" s="2" t="str">
        <v/>
      </c>
      <c r="AN66" s="2" t="str">
        <v/>
      </c>
      <c r="AO66" s="2">
        <v>274.99999999999898</v>
      </c>
      <c r="AP66" s="2">
        <v>265.36153753658687</v>
      </c>
    </row>
    <row r="67" spans="1:42" x14ac:dyDescent="0.3">
      <c r="A67" s="2" t="str">
        <v/>
      </c>
      <c r="B67" s="2" t="str">
        <v/>
      </c>
      <c r="C67" s="2" t="str">
        <v/>
      </c>
      <c r="D67" s="2" t="str">
        <v/>
      </c>
      <c r="E67" s="2" t="str">
        <v/>
      </c>
      <c r="F67" s="2" t="str">
        <v/>
      </c>
      <c r="G67" s="2" t="str">
        <v/>
      </c>
      <c r="H67" s="2" t="str">
        <v/>
      </c>
      <c r="I67" s="2" t="str">
        <v/>
      </c>
      <c r="J67" s="2" t="str">
        <v/>
      </c>
      <c r="K67" s="2" t="str">
        <v/>
      </c>
      <c r="L67" s="2" t="str">
        <v/>
      </c>
      <c r="M67" s="2" t="str">
        <v/>
      </c>
      <c r="N67" s="2" t="str">
        <v/>
      </c>
      <c r="O67" s="2" t="str">
        <v/>
      </c>
      <c r="P67" s="2" t="str">
        <v/>
      </c>
      <c r="Q67" s="2" t="str">
        <v/>
      </c>
      <c r="R67" s="2" t="str">
        <v/>
      </c>
      <c r="S67" s="2" t="str">
        <v/>
      </c>
      <c r="T67" s="2" t="str">
        <v/>
      </c>
      <c r="U67" s="2" t="str">
        <v/>
      </c>
      <c r="V67" s="2" t="str">
        <v/>
      </c>
      <c r="W67" s="2" t="str">
        <v/>
      </c>
      <c r="X67" s="2" t="str">
        <v/>
      </c>
      <c r="Y67" s="2" t="str">
        <v/>
      </c>
      <c r="Z67" s="2" t="str">
        <v/>
      </c>
      <c r="AA67" s="2" t="str">
        <v/>
      </c>
      <c r="AB67" s="2" t="str">
        <v/>
      </c>
      <c r="AC67" s="2" t="str">
        <v/>
      </c>
      <c r="AD67" s="2" t="str">
        <v/>
      </c>
      <c r="AE67" s="2" t="str">
        <v/>
      </c>
      <c r="AF67" s="2" t="str">
        <v/>
      </c>
      <c r="AG67" s="2" t="str">
        <v/>
      </c>
      <c r="AH67" s="2" t="str">
        <v/>
      </c>
      <c r="AI67" s="2" t="str">
        <v/>
      </c>
      <c r="AJ67" s="2" t="str">
        <v/>
      </c>
      <c r="AK67" s="2" t="str">
        <v/>
      </c>
      <c r="AL67" s="2" t="str">
        <v/>
      </c>
      <c r="AM67" s="2" t="str">
        <v/>
      </c>
      <c r="AN67" s="2">
        <v>252.09346065975748</v>
      </c>
      <c r="AO67" s="2">
        <v>243.25784844942751</v>
      </c>
      <c r="AP67" s="2">
        <v>234.73191520866311</v>
      </c>
    </row>
    <row r="68" spans="1:42" x14ac:dyDescent="0.3">
      <c r="A68" s="2" t="str">
        <v/>
      </c>
      <c r="B68" s="2" t="str">
        <v/>
      </c>
      <c r="C68" s="2" t="str">
        <v/>
      </c>
      <c r="D68" s="2" t="str">
        <v/>
      </c>
      <c r="E68" s="2" t="str">
        <v/>
      </c>
      <c r="F68" s="2" t="str">
        <v/>
      </c>
      <c r="G68" s="2" t="str">
        <v/>
      </c>
      <c r="H68" s="2" t="str">
        <v/>
      </c>
      <c r="I68" s="2" t="str">
        <v/>
      </c>
      <c r="J68" s="2" t="str">
        <v/>
      </c>
      <c r="K68" s="2" t="str">
        <v/>
      </c>
      <c r="L68" s="2" t="str">
        <v/>
      </c>
      <c r="M68" s="2" t="str">
        <v/>
      </c>
      <c r="N68" s="2" t="str">
        <v/>
      </c>
      <c r="O68" s="2" t="str">
        <v/>
      </c>
      <c r="P68" s="2" t="str">
        <v/>
      </c>
      <c r="Q68" s="2" t="str">
        <v/>
      </c>
      <c r="R68" s="2" t="str">
        <v/>
      </c>
      <c r="S68" s="2" t="str">
        <v/>
      </c>
      <c r="T68" s="2" t="str">
        <v/>
      </c>
      <c r="U68" s="2" t="str">
        <v/>
      </c>
      <c r="V68" s="2" t="str">
        <v/>
      </c>
      <c r="W68" s="2" t="str">
        <v/>
      </c>
      <c r="X68" s="2" t="str">
        <v/>
      </c>
      <c r="Y68" s="2" t="str">
        <v/>
      </c>
      <c r="Z68" s="2" t="str">
        <v/>
      </c>
      <c r="AA68" s="2" t="str">
        <v/>
      </c>
      <c r="AB68" s="2" t="str">
        <v/>
      </c>
      <c r="AC68" s="2" t="str">
        <v/>
      </c>
      <c r="AD68" s="2" t="str">
        <v/>
      </c>
      <c r="AE68" s="2" t="str">
        <v/>
      </c>
      <c r="AF68" s="2" t="str">
        <v/>
      </c>
      <c r="AG68" s="2" t="str">
        <v/>
      </c>
      <c r="AH68" s="2" t="str">
        <v/>
      </c>
      <c r="AI68" s="2" t="str">
        <v/>
      </c>
      <c r="AJ68" s="2" t="str">
        <v/>
      </c>
      <c r="AK68" s="2" t="str">
        <v/>
      </c>
      <c r="AL68" s="2" t="str">
        <v/>
      </c>
      <c r="AM68" s="2">
        <v>243.25784844942751</v>
      </c>
      <c r="AN68" s="2">
        <v>234.73191520866311</v>
      </c>
      <c r="AO68" s="2">
        <v>226.50480701337747</v>
      </c>
      <c r="AP68" s="2">
        <v>218.56605035817441</v>
      </c>
    </row>
    <row r="69" spans="1:42" x14ac:dyDescent="0.3">
      <c r="A69" s="2" t="str">
        <v/>
      </c>
      <c r="B69" s="2" t="str">
        <v/>
      </c>
      <c r="C69" s="2" t="str">
        <v/>
      </c>
      <c r="D69" s="2" t="str">
        <v/>
      </c>
      <c r="E69" s="2" t="str">
        <v/>
      </c>
      <c r="F69" s="2" t="str">
        <v/>
      </c>
      <c r="G69" s="2" t="str">
        <v/>
      </c>
      <c r="H69" s="2" t="str">
        <v/>
      </c>
      <c r="I69" s="2" t="str">
        <v/>
      </c>
      <c r="J69" s="2" t="str">
        <v/>
      </c>
      <c r="K69" s="2" t="str">
        <v/>
      </c>
      <c r="L69" s="2" t="str">
        <v/>
      </c>
      <c r="M69" s="2" t="str">
        <v/>
      </c>
      <c r="N69" s="2" t="str">
        <v/>
      </c>
      <c r="O69" s="2" t="str">
        <v/>
      </c>
      <c r="P69" s="2" t="str">
        <v/>
      </c>
      <c r="Q69" s="2" t="str">
        <v/>
      </c>
      <c r="R69" s="2" t="str">
        <v/>
      </c>
      <c r="S69" s="2" t="str">
        <v/>
      </c>
      <c r="T69" s="2" t="str">
        <v/>
      </c>
      <c r="U69" s="2" t="str">
        <v/>
      </c>
      <c r="V69" s="2" t="str">
        <v/>
      </c>
      <c r="W69" s="2" t="str">
        <v/>
      </c>
      <c r="X69" s="2" t="str">
        <v/>
      </c>
      <c r="Y69" s="2" t="str">
        <v/>
      </c>
      <c r="Z69" s="2" t="str">
        <v/>
      </c>
      <c r="AA69" s="2" t="str">
        <v/>
      </c>
      <c r="AB69" s="2" t="str">
        <v/>
      </c>
      <c r="AC69" s="2" t="str">
        <v/>
      </c>
      <c r="AD69" s="2" t="str">
        <v/>
      </c>
      <c r="AE69" s="2" t="str">
        <v/>
      </c>
      <c r="AF69" s="2" t="str">
        <v/>
      </c>
      <c r="AG69" s="2" t="str">
        <v/>
      </c>
      <c r="AH69" s="2" t="str">
        <v/>
      </c>
      <c r="AI69" s="2" t="str">
        <v/>
      </c>
      <c r="AJ69" s="2" t="str">
        <v/>
      </c>
      <c r="AK69" s="2" t="str">
        <v/>
      </c>
      <c r="AL69" s="2">
        <v>197.66898122834789</v>
      </c>
      <c r="AM69" s="2">
        <v>190.74089011652842</v>
      </c>
      <c r="AN69" s="2">
        <v>184.05562135425211</v>
      </c>
      <c r="AO69" s="2">
        <v>177.60466427205955</v>
      </c>
      <c r="AP69" s="2">
        <v>171.37980649055714</v>
      </c>
    </row>
    <row r="70" spans="1:42" x14ac:dyDescent="0.3">
      <c r="A70" s="2" t="str">
        <v/>
      </c>
      <c r="B70" s="2" t="str">
        <v/>
      </c>
      <c r="C70" s="2" t="str">
        <v/>
      </c>
      <c r="D70" s="2" t="str">
        <v/>
      </c>
      <c r="E70" s="2" t="str">
        <v/>
      </c>
      <c r="F70" s="2" t="str">
        <v/>
      </c>
      <c r="G70" s="2" t="str">
        <v/>
      </c>
      <c r="H70" s="2" t="str">
        <v/>
      </c>
      <c r="I70" s="2" t="str">
        <v/>
      </c>
      <c r="J70" s="2" t="str">
        <v/>
      </c>
      <c r="K70" s="2" t="str">
        <v/>
      </c>
      <c r="L70" s="2" t="str">
        <v/>
      </c>
      <c r="M70" s="2" t="str">
        <v/>
      </c>
      <c r="N70" s="2" t="str">
        <v/>
      </c>
      <c r="O70" s="2" t="str">
        <v/>
      </c>
      <c r="P70" s="2" t="str">
        <v/>
      </c>
      <c r="Q70" s="2" t="str">
        <v/>
      </c>
      <c r="R70" s="2" t="str">
        <v/>
      </c>
      <c r="S70" s="2" t="str">
        <v/>
      </c>
      <c r="T70" s="2" t="str">
        <v/>
      </c>
      <c r="U70" s="2" t="str">
        <v/>
      </c>
      <c r="V70" s="2" t="str">
        <v/>
      </c>
      <c r="W70" s="2" t="str">
        <v/>
      </c>
      <c r="X70" s="2" t="str">
        <v/>
      </c>
      <c r="Y70" s="2" t="str">
        <v/>
      </c>
      <c r="Z70" s="2" t="str">
        <v/>
      </c>
      <c r="AA70" s="2" t="str">
        <v/>
      </c>
      <c r="AB70" s="2" t="str">
        <v/>
      </c>
      <c r="AC70" s="2" t="str">
        <v/>
      </c>
      <c r="AD70" s="2" t="str">
        <v/>
      </c>
      <c r="AE70" s="2" t="str">
        <v/>
      </c>
      <c r="AF70" s="2" t="str">
        <v/>
      </c>
      <c r="AG70" s="2" t="str">
        <v/>
      </c>
      <c r="AH70" s="2" t="str">
        <v/>
      </c>
      <c r="AI70" s="2" t="str">
        <v/>
      </c>
      <c r="AJ70" s="2" t="str">
        <v/>
      </c>
      <c r="AK70" s="2">
        <v>214.58350138109446</v>
      </c>
      <c r="AL70" s="2">
        <v>207.06257402353361</v>
      </c>
      <c r="AM70" s="2">
        <v>199.80524730606697</v>
      </c>
      <c r="AN70" s="2">
        <v>192.80228230187677</v>
      </c>
      <c r="AO70" s="2">
        <v>186.04476389887009</v>
      </c>
      <c r="AP70" s="2">
        <v>179.52408945031141</v>
      </c>
    </row>
    <row r="71" spans="1:42" x14ac:dyDescent="0.3">
      <c r="A71" s="2" t="str">
        <v/>
      </c>
      <c r="B71" s="2" t="str">
        <v/>
      </c>
      <c r="C71" s="2" t="str">
        <v/>
      </c>
      <c r="D71" s="2" t="str">
        <v/>
      </c>
      <c r="E71" s="2" t="str">
        <v/>
      </c>
      <c r="F71" s="2" t="str">
        <v/>
      </c>
      <c r="G71" s="2" t="str">
        <v/>
      </c>
      <c r="H71" s="2" t="str">
        <v/>
      </c>
      <c r="I71" s="2" t="str">
        <v/>
      </c>
      <c r="J71" s="2" t="str">
        <v/>
      </c>
      <c r="K71" s="2" t="str">
        <v/>
      </c>
      <c r="L71" s="2" t="str">
        <v/>
      </c>
      <c r="M71" s="2" t="str">
        <v/>
      </c>
      <c r="N71" s="2" t="str">
        <v/>
      </c>
      <c r="O71" s="2" t="str">
        <v/>
      </c>
      <c r="P71" s="2" t="str">
        <v/>
      </c>
      <c r="Q71" s="2" t="str">
        <v/>
      </c>
      <c r="R71" s="2" t="str">
        <v/>
      </c>
      <c r="S71" s="2" t="str">
        <v/>
      </c>
      <c r="T71" s="2" t="str">
        <v/>
      </c>
      <c r="U71" s="2" t="str">
        <v/>
      </c>
      <c r="V71" s="2" t="str">
        <v/>
      </c>
      <c r="W71" s="2" t="str">
        <v/>
      </c>
      <c r="X71" s="2" t="str">
        <v/>
      </c>
      <c r="Y71" s="2" t="str">
        <v/>
      </c>
      <c r="Z71" s="2" t="str">
        <v/>
      </c>
      <c r="AA71" s="2" t="str">
        <v/>
      </c>
      <c r="AB71" s="2" t="str">
        <v/>
      </c>
      <c r="AC71" s="2" t="str">
        <v/>
      </c>
      <c r="AD71" s="2" t="str">
        <v/>
      </c>
      <c r="AE71" s="2" t="str">
        <v/>
      </c>
      <c r="AF71" s="2" t="str">
        <v/>
      </c>
      <c r="AG71" s="2" t="str">
        <v/>
      </c>
      <c r="AH71" s="2" t="str">
        <v/>
      </c>
      <c r="AI71" s="2" t="str">
        <v/>
      </c>
      <c r="AJ71" s="2">
        <v>230.06952669281512</v>
      </c>
      <c r="AK71" s="2">
        <v>222.0058303400744</v>
      </c>
      <c r="AL71" s="2">
        <v>214.22475811319637</v>
      </c>
      <c r="AM71" s="2">
        <v>206.71640433207787</v>
      </c>
      <c r="AN71" s="2">
        <v>199.47121050034599</v>
      </c>
      <c r="AO71" s="2">
        <v>192.47995313693156</v>
      </c>
      <c r="AP71" s="2">
        <v>185.73373203413283</v>
      </c>
    </row>
    <row r="72" spans="1:42" x14ac:dyDescent="0.3">
      <c r="A72" s="2" t="str">
        <v/>
      </c>
      <c r="B72" s="2" t="str">
        <v/>
      </c>
      <c r="C72" s="2" t="str">
        <v/>
      </c>
      <c r="D72" s="2" t="str">
        <v/>
      </c>
      <c r="E72" s="2" t="str">
        <v/>
      </c>
      <c r="F72" s="2" t="str">
        <v/>
      </c>
      <c r="G72" s="2" t="str">
        <v/>
      </c>
      <c r="H72" s="2" t="str">
        <v/>
      </c>
      <c r="I72" s="2" t="str">
        <v/>
      </c>
      <c r="J72" s="2" t="str">
        <v/>
      </c>
      <c r="K72" s="2" t="str">
        <v/>
      </c>
      <c r="L72" s="2" t="str">
        <v/>
      </c>
      <c r="M72" s="2" t="str">
        <v/>
      </c>
      <c r="N72" s="2" t="str">
        <v/>
      </c>
      <c r="O72" s="2" t="str">
        <v/>
      </c>
      <c r="P72" s="2" t="str">
        <v/>
      </c>
      <c r="Q72" s="2" t="str">
        <v/>
      </c>
      <c r="R72" s="2" t="str">
        <v/>
      </c>
      <c r="S72" s="2" t="str">
        <v/>
      </c>
      <c r="T72" s="2" t="str">
        <v/>
      </c>
      <c r="U72" s="2" t="str">
        <v/>
      </c>
      <c r="V72" s="2" t="str">
        <v/>
      </c>
      <c r="W72" s="2" t="str">
        <v/>
      </c>
      <c r="X72" s="2" t="str">
        <v/>
      </c>
      <c r="Y72" s="2" t="str">
        <v/>
      </c>
      <c r="Z72" s="2" t="str">
        <v/>
      </c>
      <c r="AA72" s="2" t="str">
        <v/>
      </c>
      <c r="AB72" s="2" t="str">
        <v/>
      </c>
      <c r="AC72" s="2" t="str">
        <v/>
      </c>
      <c r="AD72" s="2" t="str">
        <v/>
      </c>
      <c r="AE72" s="2" t="str">
        <v/>
      </c>
      <c r="AF72" s="2" t="str">
        <v/>
      </c>
      <c r="AG72" s="2" t="str">
        <v/>
      </c>
      <c r="AH72" s="2" t="str">
        <v/>
      </c>
      <c r="AI72" s="2">
        <v>199.80524730606695</v>
      </c>
      <c r="AJ72" s="2">
        <v>192.80228230187672</v>
      </c>
      <c r="AK72" s="2">
        <v>186.04476389887006</v>
      </c>
      <c r="AL72" s="2">
        <v>179.52408945031138</v>
      </c>
      <c r="AM72" s="2">
        <v>173.23195782323839</v>
      </c>
      <c r="AN72" s="2">
        <v>167.16035883071953</v>
      </c>
      <c r="AO72" s="2">
        <v>161.30156303449991</v>
      </c>
      <c r="AP72" s="2">
        <v>155.64811190505361</v>
      </c>
    </row>
    <row r="73" spans="1:42" x14ac:dyDescent="0.3">
      <c r="A73" s="2" t="str">
        <v/>
      </c>
      <c r="B73" s="2" t="str">
        <v/>
      </c>
      <c r="C73" s="2" t="str">
        <v/>
      </c>
      <c r="D73" s="2" t="str">
        <v/>
      </c>
      <c r="E73" s="2" t="str">
        <v/>
      </c>
      <c r="F73" s="2" t="str">
        <v/>
      </c>
      <c r="G73" s="2" t="str">
        <v/>
      </c>
      <c r="H73" s="2" t="str">
        <v/>
      </c>
      <c r="I73" s="2" t="str">
        <v/>
      </c>
      <c r="J73" s="2" t="str">
        <v/>
      </c>
      <c r="K73" s="2" t="str">
        <v/>
      </c>
      <c r="L73" s="2" t="str">
        <v/>
      </c>
      <c r="M73" s="2" t="str">
        <v/>
      </c>
      <c r="N73" s="2" t="str">
        <v/>
      </c>
      <c r="O73" s="2" t="str">
        <v/>
      </c>
      <c r="P73" s="2" t="str">
        <v/>
      </c>
      <c r="Q73" s="2" t="str">
        <v/>
      </c>
      <c r="R73" s="2" t="str">
        <v/>
      </c>
      <c r="S73" s="2" t="str">
        <v/>
      </c>
      <c r="T73" s="2" t="str">
        <v/>
      </c>
      <c r="U73" s="2" t="str">
        <v/>
      </c>
      <c r="V73" s="2" t="str">
        <v/>
      </c>
      <c r="W73" s="2" t="str">
        <v/>
      </c>
      <c r="X73" s="2" t="str">
        <v/>
      </c>
      <c r="Y73" s="2" t="str">
        <v/>
      </c>
      <c r="Z73" s="2" t="str">
        <v/>
      </c>
      <c r="AA73" s="2" t="str">
        <v/>
      </c>
      <c r="AB73" s="2" t="str">
        <v/>
      </c>
      <c r="AC73" s="2" t="str">
        <v/>
      </c>
      <c r="AD73" s="2" t="str">
        <v/>
      </c>
      <c r="AE73" s="2" t="str">
        <v/>
      </c>
      <c r="AF73" s="2" t="str">
        <v/>
      </c>
      <c r="AG73" s="2" t="str">
        <v/>
      </c>
      <c r="AH73" s="2">
        <v>214.22475811319637</v>
      </c>
      <c r="AI73" s="2">
        <v>206.71640433207784</v>
      </c>
      <c r="AJ73" s="2">
        <v>199.47121050034599</v>
      </c>
      <c r="AK73" s="2">
        <v>192.47995313693156</v>
      </c>
      <c r="AL73" s="2">
        <v>185.73373203413286</v>
      </c>
      <c r="AM73" s="2">
        <v>179.22395892722213</v>
      </c>
      <c r="AN73" s="2">
        <v>172.94234656117067</v>
      </c>
      <c r="AO73" s="2">
        <v>166.88089814057335</v>
      </c>
      <c r="AP73" s="2">
        <v>161.03189714934274</v>
      </c>
    </row>
    <row r="74" spans="1:42" x14ac:dyDescent="0.3">
      <c r="A74" s="2" t="str">
        <v/>
      </c>
      <c r="B74" s="2" t="str">
        <v/>
      </c>
      <c r="C74" s="2" t="str">
        <v/>
      </c>
      <c r="D74" s="2" t="str">
        <v/>
      </c>
      <c r="E74" s="2" t="str">
        <v/>
      </c>
      <c r="F74" s="2" t="str">
        <v/>
      </c>
      <c r="G74" s="2" t="str">
        <v/>
      </c>
      <c r="H74" s="2" t="str">
        <v/>
      </c>
      <c r="I74" s="2" t="str">
        <v/>
      </c>
      <c r="J74" s="2" t="str">
        <v/>
      </c>
      <c r="K74" s="2" t="str">
        <v/>
      </c>
      <c r="L74" s="2" t="str">
        <v/>
      </c>
      <c r="M74" s="2" t="str">
        <v/>
      </c>
      <c r="N74" s="2" t="str">
        <v/>
      </c>
      <c r="O74" s="2" t="str">
        <v/>
      </c>
      <c r="P74" s="2" t="str">
        <v/>
      </c>
      <c r="Q74" s="2" t="str">
        <v/>
      </c>
      <c r="R74" s="2" t="str">
        <v/>
      </c>
      <c r="S74" s="2" t="str">
        <v/>
      </c>
      <c r="T74" s="2" t="str">
        <v/>
      </c>
      <c r="U74" s="2" t="str">
        <v/>
      </c>
      <c r="V74" s="2" t="str">
        <v/>
      </c>
      <c r="W74" s="2" t="str">
        <v/>
      </c>
      <c r="X74" s="2" t="str">
        <v/>
      </c>
      <c r="Y74" s="2" t="str">
        <v/>
      </c>
      <c r="Z74" s="2" t="str">
        <v/>
      </c>
      <c r="AA74" s="2" t="str">
        <v/>
      </c>
      <c r="AB74" s="2" t="str">
        <v/>
      </c>
      <c r="AC74" s="2" t="str">
        <v/>
      </c>
      <c r="AD74" s="2" t="str">
        <v/>
      </c>
      <c r="AE74" s="2" t="str">
        <v/>
      </c>
      <c r="AF74" s="2" t="str">
        <v/>
      </c>
      <c r="AG74" s="2">
        <v>206.71640433207784</v>
      </c>
      <c r="AH74" s="2">
        <v>199.47121050034599</v>
      </c>
      <c r="AI74" s="2">
        <v>192.47995313693153</v>
      </c>
      <c r="AJ74" s="2">
        <v>185.73373203413283</v>
      </c>
      <c r="AK74" s="2">
        <v>179.22395892722213</v>
      </c>
      <c r="AL74" s="2">
        <v>172.94234656117067</v>
      </c>
      <c r="AM74" s="2">
        <v>166.88089814057335</v>
      </c>
      <c r="AN74" s="2">
        <v>161.03189714934271</v>
      </c>
      <c r="AO74" s="2">
        <v>155.38789752721186</v>
      </c>
      <c r="AP74" s="2">
        <v>149.94171419054072</v>
      </c>
    </row>
    <row r="75" spans="1:42" x14ac:dyDescent="0.3">
      <c r="A75" s="2" t="str">
        <v/>
      </c>
      <c r="B75" s="2" t="str">
        <v/>
      </c>
      <c r="C75" s="2" t="str">
        <v/>
      </c>
      <c r="D75" s="2" t="str">
        <v/>
      </c>
      <c r="E75" s="2" t="str">
        <v/>
      </c>
      <c r="F75" s="2" t="str">
        <v/>
      </c>
      <c r="G75" s="2" t="str">
        <v/>
      </c>
      <c r="H75" s="2" t="str">
        <v/>
      </c>
      <c r="I75" s="2" t="str">
        <v/>
      </c>
      <c r="J75" s="2" t="str">
        <v/>
      </c>
      <c r="K75" s="2" t="str">
        <v/>
      </c>
      <c r="L75" s="2" t="str">
        <v/>
      </c>
      <c r="M75" s="2" t="str">
        <v/>
      </c>
      <c r="N75" s="2" t="str">
        <v/>
      </c>
      <c r="O75" s="2" t="str">
        <v/>
      </c>
      <c r="P75" s="2" t="str">
        <v/>
      </c>
      <c r="Q75" s="2" t="str">
        <v/>
      </c>
      <c r="R75" s="2" t="str">
        <v/>
      </c>
      <c r="S75" s="2" t="str">
        <v/>
      </c>
      <c r="T75" s="2" t="str">
        <v/>
      </c>
      <c r="U75" s="2" t="str">
        <v/>
      </c>
      <c r="V75" s="2" t="str">
        <v/>
      </c>
      <c r="W75" s="2" t="str">
        <v/>
      </c>
      <c r="X75" s="2" t="str">
        <v/>
      </c>
      <c r="Y75" s="2" t="str">
        <v/>
      </c>
      <c r="Z75" s="2" t="str">
        <v/>
      </c>
      <c r="AA75" s="2" t="str">
        <v/>
      </c>
      <c r="AB75" s="2" t="str">
        <v/>
      </c>
      <c r="AC75" s="2" t="str">
        <v/>
      </c>
      <c r="AD75" s="2" t="str">
        <v/>
      </c>
      <c r="AE75" s="2" t="str">
        <v/>
      </c>
      <c r="AF75" s="2">
        <v>179.52408945031138</v>
      </c>
      <c r="AG75" s="2">
        <v>173.23195782323839</v>
      </c>
      <c r="AH75" s="2">
        <v>167.16035883071953</v>
      </c>
      <c r="AI75" s="2">
        <v>161.30156303449994</v>
      </c>
      <c r="AJ75" s="2">
        <v>155.64811190505361</v>
      </c>
      <c r="AK75" s="2">
        <v>150.192808326516</v>
      </c>
      <c r="AL75" s="2">
        <v>144.92870743440844</v>
      </c>
      <c r="AM75" s="2">
        <v>139.84910777449068</v>
      </c>
      <c r="AN75" s="2">
        <v>134.94754277148664</v>
      </c>
      <c r="AO75" s="2">
        <v>130.21777249682233</v>
      </c>
      <c r="AP75" s="2">
        <v>125.65377572489591</v>
      </c>
    </row>
    <row r="76" spans="1:42" x14ac:dyDescent="0.3">
      <c r="A76" s="2" t="str">
        <v/>
      </c>
      <c r="B76" s="2" t="str">
        <v/>
      </c>
      <c r="C76" s="2" t="str">
        <v/>
      </c>
      <c r="D76" s="2" t="str">
        <v/>
      </c>
      <c r="E76" s="2" t="str">
        <v/>
      </c>
      <c r="F76" s="2" t="str">
        <v/>
      </c>
      <c r="G76" s="2" t="str">
        <v/>
      </c>
      <c r="H76" s="2" t="str">
        <v/>
      </c>
      <c r="I76" s="2" t="str">
        <v/>
      </c>
      <c r="J76" s="2" t="str">
        <v/>
      </c>
      <c r="K76" s="2" t="str">
        <v/>
      </c>
      <c r="L76" s="2" t="str">
        <v/>
      </c>
      <c r="M76" s="2" t="str">
        <v/>
      </c>
      <c r="N76" s="2" t="str">
        <v/>
      </c>
      <c r="O76" s="2" t="str">
        <v/>
      </c>
      <c r="P76" s="2" t="str">
        <v/>
      </c>
      <c r="Q76" s="2" t="str">
        <v/>
      </c>
      <c r="R76" s="2" t="str">
        <v/>
      </c>
      <c r="S76" s="2" t="str">
        <v/>
      </c>
      <c r="T76" s="2" t="str">
        <v/>
      </c>
      <c r="U76" s="2" t="str">
        <v/>
      </c>
      <c r="V76" s="2" t="str">
        <v/>
      </c>
      <c r="W76" s="2" t="str">
        <v/>
      </c>
      <c r="X76" s="2" t="str">
        <v/>
      </c>
      <c r="Y76" s="2" t="str">
        <v/>
      </c>
      <c r="Z76" s="2" t="str">
        <v/>
      </c>
      <c r="AA76" s="2" t="str">
        <v/>
      </c>
      <c r="AB76" s="2" t="str">
        <v/>
      </c>
      <c r="AC76" s="2" t="str">
        <v/>
      </c>
      <c r="AD76" s="2" t="str">
        <v/>
      </c>
      <c r="AE76" s="2">
        <v>192.47995313693156</v>
      </c>
      <c r="AF76" s="2">
        <v>185.73373203413286</v>
      </c>
      <c r="AG76" s="2">
        <v>179.22395892722213</v>
      </c>
      <c r="AH76" s="2">
        <v>172.94234656117069</v>
      </c>
      <c r="AI76" s="2">
        <v>166.88089814057338</v>
      </c>
      <c r="AJ76" s="2">
        <v>161.03189714934274</v>
      </c>
      <c r="AK76" s="2">
        <v>155.38789752721186</v>
      </c>
      <c r="AL76" s="2">
        <v>149.94171419054072</v>
      </c>
      <c r="AM76" s="2">
        <v>144.68641388535818</v>
      </c>
      <c r="AN76" s="2">
        <v>139.61530636099548</v>
      </c>
      <c r="AO76" s="2">
        <v>134.72193585307457</v>
      </c>
      <c r="AP76" s="2">
        <v>130.00007286500886</v>
      </c>
    </row>
    <row r="77" spans="1:42" x14ac:dyDescent="0.3">
      <c r="A77" s="2" t="str">
        <v/>
      </c>
      <c r="B77" s="2" t="str">
        <v/>
      </c>
      <c r="C77" s="2" t="str">
        <v/>
      </c>
      <c r="D77" s="2" t="str">
        <v/>
      </c>
      <c r="E77" s="2" t="str">
        <v/>
      </c>
      <c r="F77" s="2" t="str">
        <v/>
      </c>
      <c r="G77" s="2" t="str">
        <v/>
      </c>
      <c r="H77" s="2" t="str">
        <v/>
      </c>
      <c r="I77" s="2" t="str">
        <v/>
      </c>
      <c r="J77" s="2" t="str">
        <v/>
      </c>
      <c r="K77" s="2" t="str">
        <v/>
      </c>
      <c r="L77" s="2" t="str">
        <v/>
      </c>
      <c r="M77" s="2" t="str">
        <v/>
      </c>
      <c r="N77" s="2" t="str">
        <v/>
      </c>
      <c r="O77" s="2" t="str">
        <v/>
      </c>
      <c r="P77" s="2" t="str">
        <v/>
      </c>
      <c r="Q77" s="2" t="str">
        <v/>
      </c>
      <c r="R77" s="2" t="str">
        <v/>
      </c>
      <c r="S77" s="2" t="str">
        <v/>
      </c>
      <c r="T77" s="2" t="str">
        <v/>
      </c>
      <c r="U77" s="2" t="str">
        <v/>
      </c>
      <c r="V77" s="2" t="str">
        <v/>
      </c>
      <c r="W77" s="2" t="str">
        <v/>
      </c>
      <c r="X77" s="2" t="str">
        <v/>
      </c>
      <c r="Y77" s="2" t="str">
        <v/>
      </c>
      <c r="Z77" s="2" t="str">
        <v/>
      </c>
      <c r="AA77" s="2" t="str">
        <v/>
      </c>
      <c r="AB77" s="2" t="str">
        <v/>
      </c>
      <c r="AC77" s="2" t="str">
        <v/>
      </c>
      <c r="AD77" s="2">
        <v>167.16035883071953</v>
      </c>
      <c r="AE77" s="2">
        <v>161.30156303449991</v>
      </c>
      <c r="AF77" s="2">
        <v>155.64811190505358</v>
      </c>
      <c r="AG77" s="2">
        <v>150.192808326516</v>
      </c>
      <c r="AH77" s="2">
        <v>144.92870743440844</v>
      </c>
      <c r="AI77" s="2">
        <v>139.84910777449065</v>
      </c>
      <c r="AJ77" s="2">
        <v>134.94754277148661</v>
      </c>
      <c r="AK77" s="2">
        <v>130.21777249682233</v>
      </c>
      <c r="AL77" s="2">
        <v>125.65377572489592</v>
      </c>
      <c r="AM77" s="2">
        <v>121.24974226776712</v>
      </c>
      <c r="AN77" s="2">
        <v>117.00006557850793</v>
      </c>
      <c r="AO77" s="2">
        <v>112.89933561379809</v>
      </c>
      <c r="AP77" s="2">
        <v>108.94233194667893</v>
      </c>
    </row>
    <row r="78" spans="1:42" x14ac:dyDescent="0.3">
      <c r="A78" s="2" t="str">
        <v/>
      </c>
      <c r="B78" s="2" t="str">
        <v/>
      </c>
      <c r="C78" s="2" t="str">
        <v/>
      </c>
      <c r="D78" s="2" t="str">
        <v/>
      </c>
      <c r="E78" s="2" t="str">
        <v/>
      </c>
      <c r="F78" s="2" t="str">
        <v/>
      </c>
      <c r="G78" s="2" t="str">
        <v/>
      </c>
      <c r="H78" s="2" t="str">
        <v/>
      </c>
      <c r="I78" s="2" t="str">
        <v/>
      </c>
      <c r="J78" s="2" t="str">
        <v/>
      </c>
      <c r="K78" s="2" t="str">
        <v/>
      </c>
      <c r="L78" s="2" t="str">
        <v/>
      </c>
      <c r="M78" s="2" t="str">
        <v/>
      </c>
      <c r="N78" s="2" t="str">
        <v/>
      </c>
      <c r="O78" s="2" t="str">
        <v/>
      </c>
      <c r="P78" s="2" t="str">
        <v/>
      </c>
      <c r="Q78" s="2" t="str">
        <v/>
      </c>
      <c r="R78" s="2" t="str">
        <v/>
      </c>
      <c r="S78" s="2" t="str">
        <v/>
      </c>
      <c r="T78" s="2" t="str">
        <v/>
      </c>
      <c r="U78" s="2" t="str">
        <v/>
      </c>
      <c r="V78" s="2" t="str">
        <v/>
      </c>
      <c r="W78" s="2" t="str">
        <v/>
      </c>
      <c r="X78" s="2" t="str">
        <v/>
      </c>
      <c r="Y78" s="2" t="str">
        <v/>
      </c>
      <c r="Z78" s="2" t="str">
        <v/>
      </c>
      <c r="AA78" s="2" t="str">
        <v/>
      </c>
      <c r="AB78" s="2" t="str">
        <v/>
      </c>
      <c r="AC78" s="2">
        <v>170.262760980861</v>
      </c>
      <c r="AD78" s="2">
        <v>164.29522923311211</v>
      </c>
      <c r="AE78" s="2">
        <v>158.53685323354466</v>
      </c>
      <c r="AF78" s="2">
        <v>152.98030229187557</v>
      </c>
      <c r="AG78" s="2">
        <v>147.61850265085127</v>
      </c>
      <c r="AH78" s="2">
        <v>142.44462848101364</v>
      </c>
      <c r="AI78" s="2">
        <v>137.45209319109023</v>
      </c>
      <c r="AJ78" s="2">
        <v>132.63454104294567</v>
      </c>
      <c r="AK78" s="2">
        <v>127.98583906042084</v>
      </c>
      <c r="AL78" s="2">
        <v>123.50006922175838</v>
      </c>
      <c r="AM78" s="2">
        <v>119.17152092567575</v>
      </c>
      <c r="AN78" s="2">
        <v>114.99468372149444</v>
      </c>
      <c r="AO78" s="2">
        <v>110.96424029407051</v>
      </c>
      <c r="AP78" s="2">
        <v>107.07505969459618</v>
      </c>
    </row>
    <row r="79" spans="1:42" x14ac:dyDescent="0.3">
      <c r="A79" s="2" t="str">
        <v/>
      </c>
      <c r="B79" s="2" t="str">
        <v/>
      </c>
      <c r="C79" s="2" t="str">
        <v/>
      </c>
      <c r="D79" s="2" t="str">
        <v/>
      </c>
      <c r="E79" s="2" t="str">
        <v/>
      </c>
      <c r="F79" s="2" t="str">
        <v/>
      </c>
      <c r="G79" s="2" t="str">
        <v/>
      </c>
      <c r="H79" s="2" t="str">
        <v/>
      </c>
      <c r="I79" s="2" t="str">
        <v/>
      </c>
      <c r="J79" s="2" t="str">
        <v/>
      </c>
      <c r="K79" s="2" t="str">
        <v/>
      </c>
      <c r="L79" s="2" t="str">
        <v/>
      </c>
      <c r="M79" s="2" t="str">
        <v/>
      </c>
      <c r="N79" s="2" t="str">
        <v/>
      </c>
      <c r="O79" s="2" t="str">
        <v/>
      </c>
      <c r="P79" s="2" t="str">
        <v/>
      </c>
      <c r="Q79" s="2" t="str">
        <v/>
      </c>
      <c r="R79" s="2" t="str">
        <v/>
      </c>
      <c r="S79" s="2" t="str">
        <v/>
      </c>
      <c r="T79" s="2" t="str">
        <v/>
      </c>
      <c r="U79" s="2" t="str">
        <v/>
      </c>
      <c r="V79" s="2" t="str">
        <v/>
      </c>
      <c r="W79" s="2" t="str">
        <v/>
      </c>
      <c r="X79" s="2" t="str">
        <v/>
      </c>
      <c r="Y79" s="2" t="str">
        <v/>
      </c>
      <c r="Z79" s="2" t="str">
        <v/>
      </c>
      <c r="AA79" s="2" t="str">
        <v/>
      </c>
      <c r="AB79" s="2">
        <v>155.64811190505358</v>
      </c>
      <c r="AC79" s="2">
        <v>150.192808326516</v>
      </c>
      <c r="AD79" s="2">
        <v>144.92870743440844</v>
      </c>
      <c r="AE79" s="2">
        <v>139.84910777449068</v>
      </c>
      <c r="AF79" s="2">
        <v>134.94754277148664</v>
      </c>
      <c r="AG79" s="2">
        <v>130.21777249682233</v>
      </c>
      <c r="AH79" s="2">
        <v>125.65377572489589</v>
      </c>
      <c r="AI79" s="2">
        <v>121.2497422677671</v>
      </c>
      <c r="AJ79" s="2">
        <v>117.00006557850794</v>
      </c>
      <c r="AK79" s="2">
        <v>112.89933561379809</v>
      </c>
      <c r="AL79" s="2">
        <v>108.94233194667893</v>
      </c>
      <c r="AM79" s="2">
        <v>105.1240171206984</v>
      </c>
      <c r="AN79" s="2">
        <v>101.43953023698585</v>
      </c>
      <c r="AO79" s="2">
        <v>97.884180766093664</v>
      </c>
      <c r="AP79" s="2">
        <v>94.453442576726957</v>
      </c>
    </row>
    <row r="80" spans="1:42" x14ac:dyDescent="0.3">
      <c r="A80" s="2" t="str">
        <v/>
      </c>
      <c r="B80" s="2" t="str">
        <v/>
      </c>
      <c r="C80" s="2" t="str">
        <v/>
      </c>
      <c r="D80" s="2" t="str">
        <v/>
      </c>
      <c r="E80" s="2" t="str">
        <v/>
      </c>
      <c r="F80" s="2" t="str">
        <v/>
      </c>
      <c r="G80" s="2" t="str">
        <v/>
      </c>
      <c r="H80" s="2" t="str">
        <v/>
      </c>
      <c r="I80" s="2" t="str">
        <v/>
      </c>
      <c r="J80" s="2" t="str">
        <v/>
      </c>
      <c r="K80" s="2" t="str">
        <v/>
      </c>
      <c r="L80" s="2" t="str">
        <v/>
      </c>
      <c r="M80" s="2" t="str">
        <v/>
      </c>
      <c r="N80" s="2" t="str">
        <v/>
      </c>
      <c r="O80" s="2" t="str">
        <v/>
      </c>
      <c r="P80" s="2" t="str">
        <v/>
      </c>
      <c r="Q80" s="2" t="str">
        <v/>
      </c>
      <c r="R80" s="2" t="str">
        <v/>
      </c>
      <c r="S80" s="2" t="str">
        <v/>
      </c>
      <c r="T80" s="2" t="str">
        <v/>
      </c>
      <c r="U80" s="2" t="str">
        <v/>
      </c>
      <c r="V80" s="2" t="str">
        <v/>
      </c>
      <c r="W80" s="2" t="str">
        <v/>
      </c>
      <c r="X80" s="2" t="str">
        <v/>
      </c>
      <c r="Y80" s="2" t="str">
        <v/>
      </c>
      <c r="Z80" s="2" t="str">
        <v/>
      </c>
      <c r="AA80" s="2">
        <v>158.53685323354466</v>
      </c>
      <c r="AB80" s="2">
        <v>152.98030229187557</v>
      </c>
      <c r="AC80" s="2">
        <v>147.61850265085124</v>
      </c>
      <c r="AD80" s="2">
        <v>142.44462848101367</v>
      </c>
      <c r="AE80" s="2">
        <v>137.45209319109023</v>
      </c>
      <c r="AF80" s="2">
        <v>132.63454104294567</v>
      </c>
      <c r="AG80" s="2">
        <v>127.98583906042083</v>
      </c>
      <c r="AH80" s="2">
        <v>123.50006922175837</v>
      </c>
      <c r="AI80" s="2">
        <v>119.17152092567575</v>
      </c>
      <c r="AJ80" s="2">
        <v>114.99468372149443</v>
      </c>
      <c r="AK80" s="2">
        <v>110.96424029407051</v>
      </c>
      <c r="AL80" s="2">
        <v>107.07505969459616</v>
      </c>
      <c r="AM80" s="2">
        <v>103.32219080865441</v>
      </c>
      <c r="AN80" s="2">
        <v>99.70085605321178</v>
      </c>
      <c r="AO80" s="2">
        <v>96.206445294524727</v>
      </c>
      <c r="AP80" s="2">
        <v>92.834509979217117</v>
      </c>
    </row>
    <row r="81" spans="1:42" x14ac:dyDescent="0.3">
      <c r="A81" s="2" t="str">
        <v/>
      </c>
      <c r="B81" s="2" t="str">
        <v/>
      </c>
      <c r="C81" s="2" t="str">
        <v/>
      </c>
      <c r="D81" s="2" t="str">
        <v/>
      </c>
      <c r="E81" s="2" t="str">
        <v/>
      </c>
      <c r="F81" s="2" t="str">
        <v/>
      </c>
      <c r="G81" s="2" t="str">
        <v/>
      </c>
      <c r="H81" s="2" t="str">
        <v/>
      </c>
      <c r="I81" s="2" t="str">
        <v/>
      </c>
      <c r="J81" s="2" t="str">
        <v/>
      </c>
      <c r="K81" s="2" t="str">
        <v/>
      </c>
      <c r="L81" s="2" t="str">
        <v/>
      </c>
      <c r="M81" s="2" t="str">
        <v/>
      </c>
      <c r="N81" s="2" t="str">
        <v/>
      </c>
      <c r="O81" s="2" t="str">
        <v/>
      </c>
      <c r="P81" s="2" t="str">
        <v/>
      </c>
      <c r="Q81" s="2" t="str">
        <v/>
      </c>
      <c r="R81" s="2" t="str">
        <v/>
      </c>
      <c r="S81" s="2" t="str">
        <v/>
      </c>
      <c r="T81" s="2" t="str">
        <v/>
      </c>
      <c r="U81" s="2" t="str">
        <v/>
      </c>
      <c r="V81" s="2" t="str">
        <v/>
      </c>
      <c r="W81" s="2" t="str">
        <v/>
      </c>
      <c r="X81" s="2" t="str">
        <v/>
      </c>
      <c r="Y81" s="2" t="str">
        <v/>
      </c>
      <c r="Z81" s="2">
        <v>144.92870743440844</v>
      </c>
      <c r="AA81" s="2">
        <v>139.84910777449065</v>
      </c>
      <c r="AB81" s="2">
        <v>134.94754277148661</v>
      </c>
      <c r="AC81" s="2">
        <v>130.21777249682233</v>
      </c>
      <c r="AD81" s="2">
        <v>125.65377572489592</v>
      </c>
      <c r="AE81" s="2">
        <v>121.2497422677671</v>
      </c>
      <c r="AF81" s="2">
        <v>117.00006557850793</v>
      </c>
      <c r="AG81" s="2">
        <v>112.89933561379809</v>
      </c>
      <c r="AH81" s="2">
        <v>108.94233194667895</v>
      </c>
      <c r="AI81" s="2">
        <v>105.1240171206984</v>
      </c>
      <c r="AJ81" s="2">
        <v>101.43953023698585</v>
      </c>
      <c r="AK81" s="2">
        <v>97.884180766093664</v>
      </c>
      <c r="AL81" s="2">
        <v>94.453442576726957</v>
      </c>
      <c r="AM81" s="2">
        <v>91.142948173760274</v>
      </c>
      <c r="AN81" s="2">
        <v>87.948483138205702</v>
      </c>
      <c r="AO81" s="2">
        <v>84.865980762054306</v>
      </c>
      <c r="AP81" s="2">
        <v>81.891516871160775</v>
      </c>
    </row>
    <row r="82" spans="1:42" x14ac:dyDescent="0.3">
      <c r="A82" s="2" t="str">
        <v/>
      </c>
      <c r="B82" s="2" t="str">
        <v/>
      </c>
      <c r="C82" s="2" t="str">
        <v/>
      </c>
      <c r="D82" s="2" t="str">
        <v/>
      </c>
      <c r="E82" s="2" t="str">
        <v/>
      </c>
      <c r="F82" s="2" t="str">
        <v/>
      </c>
      <c r="G82" s="2" t="str">
        <v/>
      </c>
      <c r="H82" s="2" t="str">
        <v/>
      </c>
      <c r="I82" s="2" t="str">
        <v/>
      </c>
      <c r="J82" s="2" t="str">
        <v/>
      </c>
      <c r="K82" s="2" t="str">
        <v/>
      </c>
      <c r="L82" s="2" t="str">
        <v/>
      </c>
      <c r="M82" s="2" t="str">
        <v/>
      </c>
      <c r="N82" s="2" t="str">
        <v/>
      </c>
      <c r="O82" s="2" t="str">
        <v/>
      </c>
      <c r="P82" s="2" t="str">
        <v/>
      </c>
      <c r="Q82" s="2" t="str">
        <v/>
      </c>
      <c r="R82" s="2" t="str">
        <v/>
      </c>
      <c r="S82" s="2" t="str">
        <v/>
      </c>
      <c r="T82" s="2" t="str">
        <v/>
      </c>
      <c r="U82" s="2" t="str">
        <v/>
      </c>
      <c r="V82" s="2" t="str">
        <v/>
      </c>
      <c r="W82" s="2" t="str">
        <v/>
      </c>
      <c r="X82" s="2" t="str">
        <v/>
      </c>
      <c r="Y82" s="2">
        <v>147.61850265085121</v>
      </c>
      <c r="Z82" s="2">
        <v>142.44462848101361</v>
      </c>
      <c r="AA82" s="2">
        <v>137.4520931910902</v>
      </c>
      <c r="AB82" s="2">
        <v>132.63454104294564</v>
      </c>
      <c r="AC82" s="2">
        <v>127.98583906042082</v>
      </c>
      <c r="AD82" s="2">
        <v>123.50006922175834</v>
      </c>
      <c r="AE82" s="2">
        <v>119.17152092567572</v>
      </c>
      <c r="AF82" s="2">
        <v>114.99468372149441</v>
      </c>
      <c r="AG82" s="2">
        <v>110.96424029407049</v>
      </c>
      <c r="AH82" s="2">
        <v>107.07505969459615</v>
      </c>
      <c r="AI82" s="2">
        <v>103.32219080865438</v>
      </c>
      <c r="AJ82" s="2">
        <v>99.700856053211766</v>
      </c>
      <c r="AK82" s="2">
        <v>96.206445294524698</v>
      </c>
      <c r="AL82" s="2">
        <v>92.834509979217103</v>
      </c>
      <c r="AM82" s="2">
        <v>89.580757471057296</v>
      </c>
      <c r="AN82" s="2">
        <v>86.441045586225243</v>
      </c>
      <c r="AO82" s="2">
        <v>83.411377320112763</v>
      </c>
      <c r="AP82" s="2">
        <v>80.487895758943978</v>
      </c>
    </row>
    <row r="83" spans="1:42" x14ac:dyDescent="0.3">
      <c r="A83" s="2" t="str">
        <v/>
      </c>
      <c r="B83" s="2" t="str">
        <v/>
      </c>
      <c r="C83" s="2" t="str">
        <v/>
      </c>
      <c r="D83" s="2" t="str">
        <v/>
      </c>
      <c r="E83" s="2" t="str">
        <v/>
      </c>
      <c r="F83" s="2" t="str">
        <v/>
      </c>
      <c r="G83" s="2" t="str">
        <v/>
      </c>
      <c r="H83" s="2" t="str">
        <v/>
      </c>
      <c r="I83" s="2" t="str">
        <v/>
      </c>
      <c r="J83" s="2" t="str">
        <v/>
      </c>
      <c r="K83" s="2" t="str">
        <v/>
      </c>
      <c r="L83" s="2" t="str">
        <v/>
      </c>
      <c r="M83" s="2" t="str">
        <v/>
      </c>
      <c r="N83" s="2" t="str">
        <v/>
      </c>
      <c r="O83" s="2" t="str">
        <v/>
      </c>
      <c r="P83" s="2" t="str">
        <v/>
      </c>
      <c r="Q83" s="2" t="str">
        <v/>
      </c>
      <c r="R83" s="2" t="str">
        <v/>
      </c>
      <c r="S83" s="2" t="str">
        <v/>
      </c>
      <c r="T83" s="2" t="str">
        <v/>
      </c>
      <c r="U83" s="2" t="str">
        <v/>
      </c>
      <c r="V83" s="2" t="str">
        <v/>
      </c>
      <c r="W83" s="2" t="str">
        <v/>
      </c>
      <c r="X83" s="2">
        <v>142.44462848101361</v>
      </c>
      <c r="Y83" s="2">
        <v>137.4520931910902</v>
      </c>
      <c r="Z83" s="2">
        <v>132.63454104294564</v>
      </c>
      <c r="AA83" s="2">
        <v>127.9858390604208</v>
      </c>
      <c r="AB83" s="2">
        <v>123.50006922175835</v>
      </c>
      <c r="AC83" s="2">
        <v>119.17152092567571</v>
      </c>
      <c r="AD83" s="2">
        <v>114.9946837214944</v>
      </c>
      <c r="AE83" s="2">
        <v>110.96424029407048</v>
      </c>
      <c r="AF83" s="2">
        <v>107.07505969459615</v>
      </c>
      <c r="AG83" s="2">
        <v>103.32219080865438</v>
      </c>
      <c r="AH83" s="2">
        <v>99.700856053211751</v>
      </c>
      <c r="AI83" s="2">
        <v>96.206445294524698</v>
      </c>
      <c r="AJ83" s="2">
        <v>92.834509979217088</v>
      </c>
      <c r="AK83" s="2">
        <v>89.580757471057296</v>
      </c>
      <c r="AL83" s="2">
        <v>86.441045586225243</v>
      </c>
      <c r="AM83" s="2">
        <v>83.411377320112763</v>
      </c>
      <c r="AN83" s="2">
        <v>80.487895758943978</v>
      </c>
      <c r="AO83" s="2">
        <v>77.66687916973811</v>
      </c>
      <c r="AP83" s="2">
        <v>74.944736262363989</v>
      </c>
    </row>
    <row r="84" spans="1:42" x14ac:dyDescent="0.3">
      <c r="A84" s="2" t="str">
        <v/>
      </c>
      <c r="B84" s="2" t="str">
        <v/>
      </c>
      <c r="C84" s="2" t="str">
        <v/>
      </c>
      <c r="D84" s="2" t="str">
        <v/>
      </c>
      <c r="E84" s="2" t="str">
        <v/>
      </c>
      <c r="F84" s="2" t="str">
        <v/>
      </c>
      <c r="G84" s="2" t="str">
        <v/>
      </c>
      <c r="H84" s="2" t="str">
        <v/>
      </c>
      <c r="I84" s="2" t="str">
        <v/>
      </c>
      <c r="J84" s="2" t="str">
        <v/>
      </c>
      <c r="K84" s="2" t="str">
        <v/>
      </c>
      <c r="L84" s="2" t="str">
        <v/>
      </c>
      <c r="M84" s="2" t="str">
        <v/>
      </c>
      <c r="N84" s="2" t="str">
        <v/>
      </c>
      <c r="O84" s="2" t="str">
        <v/>
      </c>
      <c r="P84" s="2" t="str">
        <v/>
      </c>
      <c r="Q84" s="2" t="str">
        <v/>
      </c>
      <c r="R84" s="2" t="str">
        <v/>
      </c>
      <c r="S84" s="2" t="str">
        <v/>
      </c>
      <c r="T84" s="2" t="str">
        <v/>
      </c>
      <c r="U84" s="2" t="str">
        <v/>
      </c>
      <c r="V84" s="2" t="str">
        <v/>
      </c>
      <c r="W84" s="2">
        <v>130.21777249682231</v>
      </c>
      <c r="X84" s="2">
        <v>125.65377572489588</v>
      </c>
      <c r="Y84" s="2">
        <v>121.24974226776709</v>
      </c>
      <c r="Z84" s="2">
        <v>117.00006557850793</v>
      </c>
      <c r="AA84" s="2">
        <v>112.89933561379807</v>
      </c>
      <c r="AB84" s="2">
        <v>108.94233194667892</v>
      </c>
      <c r="AC84" s="2">
        <v>105.12401712069837</v>
      </c>
      <c r="AD84" s="2">
        <v>101.43953023698583</v>
      </c>
      <c r="AE84" s="2">
        <v>97.88418076609365</v>
      </c>
      <c r="AF84" s="2">
        <v>94.453442576726943</v>
      </c>
      <c r="AG84" s="2">
        <v>91.142948173760246</v>
      </c>
      <c r="AH84" s="2">
        <v>87.948483138205688</v>
      </c>
      <c r="AI84" s="2">
        <v>84.865980762054278</v>
      </c>
      <c r="AJ84" s="2">
        <v>81.891516871160761</v>
      </c>
      <c r="AK84" s="2">
        <v>79.021304829580529</v>
      </c>
      <c r="AL84" s="2">
        <v>76.251690718999569</v>
      </c>
      <c r="AM84" s="2">
        <v>73.579148687120323</v>
      </c>
      <c r="AN84" s="2">
        <v>71.000276459081661</v>
      </c>
      <c r="AO84" s="2">
        <v>68.511791006198976</v>
      </c>
      <c r="AP84" s="2">
        <v>66.11052436651029</v>
      </c>
    </row>
    <row r="85" spans="1:42" x14ac:dyDescent="0.3">
      <c r="A85" s="2" t="str">
        <v/>
      </c>
      <c r="B85" s="2" t="str">
        <v/>
      </c>
      <c r="C85" s="2" t="str">
        <v/>
      </c>
      <c r="D85" s="2" t="str">
        <v/>
      </c>
      <c r="E85" s="2" t="str">
        <v/>
      </c>
      <c r="F85" s="2" t="str">
        <v/>
      </c>
      <c r="G85" s="2" t="str">
        <v/>
      </c>
      <c r="H85" s="2" t="str">
        <v/>
      </c>
      <c r="I85" s="2" t="str">
        <v/>
      </c>
      <c r="J85" s="2" t="str">
        <v/>
      </c>
      <c r="K85" s="2" t="str">
        <v/>
      </c>
      <c r="L85" s="2" t="str">
        <v/>
      </c>
      <c r="M85" s="2" t="str">
        <v/>
      </c>
      <c r="N85" s="2" t="str">
        <v/>
      </c>
      <c r="O85" s="2" t="str">
        <v/>
      </c>
      <c r="P85" s="2" t="str">
        <v/>
      </c>
      <c r="Q85" s="2" t="str">
        <v/>
      </c>
      <c r="R85" s="2" t="str">
        <v/>
      </c>
      <c r="S85" s="2" t="str">
        <v/>
      </c>
      <c r="T85" s="2" t="str">
        <v/>
      </c>
      <c r="U85" s="2" t="str">
        <v/>
      </c>
      <c r="V85" s="2">
        <v>125.65377572489589</v>
      </c>
      <c r="W85" s="2">
        <v>121.2497422677671</v>
      </c>
      <c r="X85" s="2">
        <v>117.00006557850793</v>
      </c>
      <c r="Y85" s="2">
        <v>112.89933561379807</v>
      </c>
      <c r="Z85" s="2">
        <v>108.94233194667893</v>
      </c>
      <c r="AA85" s="2">
        <v>105.12401712069837</v>
      </c>
      <c r="AB85" s="2">
        <v>101.43953023698583</v>
      </c>
      <c r="AC85" s="2">
        <v>97.88418076609365</v>
      </c>
      <c r="AD85" s="2">
        <v>94.453442576726957</v>
      </c>
      <c r="AE85" s="2">
        <v>91.14294817376026</v>
      </c>
      <c r="AF85" s="2">
        <v>87.948483138205688</v>
      </c>
      <c r="AG85" s="2">
        <v>84.865980762054292</v>
      </c>
      <c r="AH85" s="2">
        <v>81.891516871160761</v>
      </c>
      <c r="AI85" s="2">
        <v>79.021304829580529</v>
      </c>
      <c r="AJ85" s="2">
        <v>76.251690718999583</v>
      </c>
      <c r="AK85" s="2">
        <v>73.579148687120338</v>
      </c>
      <c r="AL85" s="2">
        <v>71.000276459081675</v>
      </c>
      <c r="AM85" s="2">
        <v>68.511791006198962</v>
      </c>
      <c r="AN85" s="2">
        <v>66.11052436651029</v>
      </c>
      <c r="AO85" s="2">
        <v>63.793419611808098</v>
      </c>
      <c r="AP85" s="2">
        <v>61.557526956022222</v>
      </c>
    </row>
    <row r="86" spans="1:42" x14ac:dyDescent="0.3">
      <c r="A86" s="2" t="str">
        <v/>
      </c>
      <c r="B86" s="2" t="str">
        <v/>
      </c>
      <c r="C86" s="2" t="str">
        <v/>
      </c>
      <c r="D86" s="2" t="str">
        <v/>
      </c>
      <c r="E86" s="2" t="str">
        <v/>
      </c>
      <c r="F86" s="2" t="str">
        <v/>
      </c>
      <c r="G86" s="2" t="str">
        <v/>
      </c>
      <c r="H86" s="2" t="str">
        <v/>
      </c>
      <c r="I86" s="2" t="str">
        <v/>
      </c>
      <c r="J86" s="2" t="str">
        <v/>
      </c>
      <c r="K86" s="2" t="str">
        <v/>
      </c>
      <c r="L86" s="2" t="str">
        <v/>
      </c>
      <c r="M86" s="2" t="str">
        <v/>
      </c>
      <c r="N86" s="2" t="str">
        <v/>
      </c>
      <c r="O86" s="2" t="str">
        <v/>
      </c>
      <c r="P86" s="2" t="str">
        <v/>
      </c>
      <c r="Q86" s="2" t="str">
        <v/>
      </c>
      <c r="R86" s="2" t="str">
        <v/>
      </c>
      <c r="S86" s="2" t="str">
        <v/>
      </c>
      <c r="T86" s="2" t="str">
        <v/>
      </c>
      <c r="U86" s="2">
        <v>127.9858390604208</v>
      </c>
      <c r="V86" s="2">
        <v>123.50006922175834</v>
      </c>
      <c r="W86" s="2">
        <v>119.17152092567572</v>
      </c>
      <c r="X86" s="2">
        <v>114.99468372149441</v>
      </c>
      <c r="Y86" s="2">
        <v>110.96424029407049</v>
      </c>
      <c r="Z86" s="2">
        <v>107.07505969459613</v>
      </c>
      <c r="AA86" s="2">
        <v>103.32219080865438</v>
      </c>
      <c r="AB86" s="2">
        <v>99.700856053211751</v>
      </c>
      <c r="AC86" s="2">
        <v>96.206445294524713</v>
      </c>
      <c r="AD86" s="2">
        <v>92.834509979217103</v>
      </c>
      <c r="AE86" s="2">
        <v>89.580757471057282</v>
      </c>
      <c r="AF86" s="2">
        <v>86.441045586225243</v>
      </c>
      <c r="AG86" s="2">
        <v>83.411377320112763</v>
      </c>
      <c r="AH86" s="2">
        <v>80.487895758943978</v>
      </c>
      <c r="AI86" s="2">
        <v>77.666879169738124</v>
      </c>
      <c r="AJ86" s="2">
        <v>74.944736262363975</v>
      </c>
      <c r="AK86" s="2">
        <v>72.318001617654446</v>
      </c>
      <c r="AL86" s="2">
        <v>69.783331275760844</v>
      </c>
      <c r="AM86" s="2">
        <v>67.337498479130758</v>
      </c>
      <c r="AN86" s="2">
        <v>64.977389564690114</v>
      </c>
      <c r="AO86" s="2">
        <v>62.700000000000024</v>
      </c>
      <c r="AP86" s="2">
        <v>60.502430558342056</v>
      </c>
    </row>
    <row r="87" spans="1:42" x14ac:dyDescent="0.3">
      <c r="A87" s="2" t="str">
        <v/>
      </c>
      <c r="B87" s="2" t="str">
        <v/>
      </c>
      <c r="C87" s="2" t="str">
        <v/>
      </c>
      <c r="D87" s="2" t="str">
        <v/>
      </c>
      <c r="E87" s="2" t="str">
        <v/>
      </c>
      <c r="F87" s="2" t="str">
        <v/>
      </c>
      <c r="G87" s="2" t="str">
        <v/>
      </c>
      <c r="H87" s="2" t="str">
        <v/>
      </c>
      <c r="I87" s="2" t="str">
        <v/>
      </c>
      <c r="J87" s="2" t="str">
        <v/>
      </c>
      <c r="K87" s="2" t="str">
        <v/>
      </c>
      <c r="L87" s="2" t="str">
        <v/>
      </c>
      <c r="M87" s="2" t="str">
        <v/>
      </c>
      <c r="N87" s="2" t="str">
        <v/>
      </c>
      <c r="O87" s="2" t="str">
        <v/>
      </c>
      <c r="P87" s="2" t="str">
        <v/>
      </c>
      <c r="Q87" s="2" t="str">
        <v/>
      </c>
      <c r="R87" s="2" t="str">
        <v/>
      </c>
      <c r="S87" s="2" t="str">
        <v/>
      </c>
      <c r="T87" s="2">
        <v>123.50006922175835</v>
      </c>
      <c r="U87" s="2">
        <v>119.17152092567574</v>
      </c>
      <c r="V87" s="2">
        <v>114.99468372149441</v>
      </c>
      <c r="W87" s="2">
        <v>110.96424029407051</v>
      </c>
      <c r="X87" s="2">
        <v>107.07505969459615</v>
      </c>
      <c r="Y87" s="2">
        <v>103.3221908086544</v>
      </c>
      <c r="Z87" s="2">
        <v>99.700856053211766</v>
      </c>
      <c r="AA87" s="2">
        <v>96.206445294524713</v>
      </c>
      <c r="AB87" s="2">
        <v>92.834509979217103</v>
      </c>
      <c r="AC87" s="2">
        <v>89.580757471057296</v>
      </c>
      <c r="AD87" s="2">
        <v>86.441045586225243</v>
      </c>
      <c r="AE87" s="2">
        <v>83.411377320112777</v>
      </c>
      <c r="AF87" s="2">
        <v>80.487895758943978</v>
      </c>
      <c r="AG87" s="2">
        <v>77.666879169738124</v>
      </c>
      <c r="AH87" s="2">
        <v>74.944736262363989</v>
      </c>
      <c r="AI87" s="2">
        <v>72.31800161765446</v>
      </c>
      <c r="AJ87" s="2">
        <v>69.783331275760844</v>
      </c>
      <c r="AK87" s="2">
        <v>67.337498479130744</v>
      </c>
      <c r="AL87" s="2">
        <v>64.977389564690128</v>
      </c>
      <c r="AM87" s="2">
        <v>62.700000000000038</v>
      </c>
      <c r="AN87" s="2">
        <v>60.502430558342056</v>
      </c>
      <c r="AO87" s="2">
        <v>58.381883627862855</v>
      </c>
      <c r="AP87" s="2">
        <v>56.335659650079393</v>
      </c>
    </row>
    <row r="88" spans="1:42" x14ac:dyDescent="0.3">
      <c r="A88" s="2" t="str">
        <v/>
      </c>
      <c r="B88" s="2" t="str">
        <v/>
      </c>
      <c r="C88" s="2" t="str">
        <v/>
      </c>
      <c r="D88" s="2" t="str">
        <v/>
      </c>
      <c r="E88" s="2" t="str">
        <v/>
      </c>
      <c r="F88" s="2" t="str">
        <v/>
      </c>
      <c r="G88" s="2" t="str">
        <v/>
      </c>
      <c r="H88" s="2" t="str">
        <v/>
      </c>
      <c r="I88" s="2" t="str">
        <v/>
      </c>
      <c r="J88" s="2" t="str">
        <v/>
      </c>
      <c r="K88" s="2" t="str">
        <v/>
      </c>
      <c r="L88" s="2" t="str">
        <v/>
      </c>
      <c r="M88" s="2" t="str">
        <v/>
      </c>
      <c r="N88" s="2" t="str">
        <v/>
      </c>
      <c r="O88" s="2" t="str">
        <v/>
      </c>
      <c r="P88" s="2" t="str">
        <v/>
      </c>
      <c r="Q88" s="2" t="str">
        <v/>
      </c>
      <c r="R88" s="2" t="str">
        <v/>
      </c>
      <c r="S88" s="2">
        <v>119.17152092567572</v>
      </c>
      <c r="T88" s="2">
        <v>114.99468372149441</v>
      </c>
      <c r="U88" s="2">
        <v>110.96424029407048</v>
      </c>
      <c r="V88" s="2">
        <v>107.07505969459615</v>
      </c>
      <c r="W88" s="2">
        <v>103.3221908086544</v>
      </c>
      <c r="X88" s="2">
        <v>99.700856053211751</v>
      </c>
      <c r="Y88" s="2">
        <v>96.206445294524698</v>
      </c>
      <c r="Z88" s="2">
        <v>92.834509979217103</v>
      </c>
      <c r="AA88" s="2">
        <v>89.580757471057296</v>
      </c>
      <c r="AB88" s="2">
        <v>86.441045586225243</v>
      </c>
      <c r="AC88" s="2">
        <v>83.411377320112763</v>
      </c>
      <c r="AD88" s="2">
        <v>80.487895758943992</v>
      </c>
      <c r="AE88" s="2">
        <v>77.66687916973811</v>
      </c>
      <c r="AF88" s="2">
        <v>74.944736262363975</v>
      </c>
      <c r="AG88" s="2">
        <v>72.31800161765446</v>
      </c>
      <c r="AH88" s="2">
        <v>69.783331275760844</v>
      </c>
      <c r="AI88" s="2">
        <v>67.337498479130744</v>
      </c>
      <c r="AJ88" s="2">
        <v>64.977389564690114</v>
      </c>
      <c r="AK88" s="2">
        <v>62.700000000000031</v>
      </c>
      <c r="AL88" s="2">
        <v>60.502430558342056</v>
      </c>
      <c r="AM88" s="2">
        <v>58.381883627862848</v>
      </c>
      <c r="AN88" s="2">
        <v>56.335659650079386</v>
      </c>
      <c r="AO88" s="2">
        <v>54.36115368321083</v>
      </c>
      <c r="AP88" s="2">
        <v>52.455852085962078</v>
      </c>
    </row>
    <row r="89" spans="1:42" x14ac:dyDescent="0.3">
      <c r="A89" s="2" t="str">
        <v/>
      </c>
      <c r="B89" s="2" t="str">
        <v/>
      </c>
      <c r="C89" s="2" t="str">
        <v/>
      </c>
      <c r="D89" s="2" t="str">
        <v/>
      </c>
      <c r="E89" s="2" t="str">
        <v/>
      </c>
      <c r="F89" s="2" t="str">
        <v/>
      </c>
      <c r="G89" s="2" t="str">
        <v/>
      </c>
      <c r="H89" s="2" t="str">
        <v/>
      </c>
      <c r="I89" s="2" t="str">
        <v/>
      </c>
      <c r="J89" s="2" t="str">
        <v/>
      </c>
      <c r="K89" s="2" t="str">
        <v/>
      </c>
      <c r="L89" s="2" t="str">
        <v/>
      </c>
      <c r="M89" s="2" t="str">
        <v/>
      </c>
      <c r="N89" s="2" t="str">
        <v/>
      </c>
      <c r="O89" s="2" t="str">
        <v/>
      </c>
      <c r="P89" s="2" t="str">
        <v/>
      </c>
      <c r="Q89" s="2" t="str">
        <v/>
      </c>
      <c r="R89" s="2">
        <v>114.9946837214944</v>
      </c>
      <c r="S89" s="2">
        <v>110.96424029407048</v>
      </c>
      <c r="T89" s="2">
        <v>107.07505969459613</v>
      </c>
      <c r="U89" s="2">
        <v>103.32219080865438</v>
      </c>
      <c r="V89" s="2">
        <v>99.700856053211751</v>
      </c>
      <c r="W89" s="2">
        <v>96.206445294524698</v>
      </c>
      <c r="X89" s="2">
        <v>92.834509979217088</v>
      </c>
      <c r="Y89" s="2">
        <v>89.580757471057282</v>
      </c>
      <c r="Z89" s="2">
        <v>86.441045586225243</v>
      </c>
      <c r="AA89" s="2">
        <v>83.411377320112763</v>
      </c>
      <c r="AB89" s="2">
        <v>80.487895758943978</v>
      </c>
      <c r="AC89" s="2">
        <v>77.666879169738124</v>
      </c>
      <c r="AD89" s="2">
        <v>74.944736262363975</v>
      </c>
      <c r="AE89" s="2">
        <v>72.318001617654446</v>
      </c>
      <c r="AF89" s="2">
        <v>69.783331275760844</v>
      </c>
      <c r="AG89" s="2">
        <v>67.337498479130744</v>
      </c>
      <c r="AH89" s="2">
        <v>64.9773895646901</v>
      </c>
      <c r="AI89" s="2">
        <v>62.700000000000017</v>
      </c>
      <c r="AJ89" s="2">
        <v>60.502430558342049</v>
      </c>
      <c r="AK89" s="2">
        <v>58.381883627862848</v>
      </c>
      <c r="AL89" s="2">
        <v>56.335659650079378</v>
      </c>
      <c r="AM89" s="2">
        <v>54.361153683210823</v>
      </c>
      <c r="AN89" s="2">
        <v>52.455852085962071</v>
      </c>
      <c r="AO89" s="2">
        <v>50.617329317537177</v>
      </c>
      <c r="AP89" s="2">
        <v>48.843244849808983</v>
      </c>
    </row>
    <row r="90" spans="1:42" x14ac:dyDescent="0.3">
      <c r="A90" s="2" t="str">
        <v/>
      </c>
      <c r="B90" s="2" t="str">
        <v/>
      </c>
      <c r="C90" s="2" t="str">
        <v/>
      </c>
      <c r="D90" s="2" t="str">
        <v/>
      </c>
      <c r="E90" s="2" t="str">
        <v/>
      </c>
      <c r="F90" s="2" t="str">
        <v/>
      </c>
      <c r="G90" s="2" t="str">
        <v/>
      </c>
      <c r="H90" s="2" t="str">
        <v/>
      </c>
      <c r="I90" s="2" t="str">
        <v/>
      </c>
      <c r="J90" s="2" t="str">
        <v/>
      </c>
      <c r="K90" s="2" t="str">
        <v/>
      </c>
      <c r="L90" s="2" t="str">
        <v/>
      </c>
      <c r="M90" s="2" t="str">
        <v/>
      </c>
      <c r="N90" s="2" t="str">
        <v/>
      </c>
      <c r="O90" s="2" t="str">
        <v/>
      </c>
      <c r="P90" s="2" t="str">
        <v/>
      </c>
      <c r="Q90" s="2">
        <v>110.96424029407048</v>
      </c>
      <c r="R90" s="2">
        <v>107.07505969459613</v>
      </c>
      <c r="S90" s="2">
        <v>103.32219080865438</v>
      </c>
      <c r="T90" s="2">
        <v>99.700856053211751</v>
      </c>
      <c r="U90" s="2">
        <v>96.206445294524698</v>
      </c>
      <c r="V90" s="2">
        <v>92.834509979217088</v>
      </c>
      <c r="W90" s="2">
        <v>89.580757471057282</v>
      </c>
      <c r="X90" s="2">
        <v>86.441045586225229</v>
      </c>
      <c r="Y90" s="2">
        <v>83.411377320112763</v>
      </c>
      <c r="Z90" s="2">
        <v>80.487895758943978</v>
      </c>
      <c r="AA90" s="2">
        <v>77.66687916973811</v>
      </c>
      <c r="AB90" s="2">
        <v>74.944736262363975</v>
      </c>
      <c r="AC90" s="2">
        <v>72.318001617654446</v>
      </c>
      <c r="AD90" s="2">
        <v>69.783331275760844</v>
      </c>
      <c r="AE90" s="2">
        <v>67.337498479130744</v>
      </c>
      <c r="AF90" s="2">
        <v>64.9773895646901</v>
      </c>
      <c r="AG90" s="2">
        <v>62.700000000000017</v>
      </c>
      <c r="AH90" s="2">
        <v>60.502430558342041</v>
      </c>
      <c r="AI90" s="2">
        <v>58.381883627862848</v>
      </c>
      <c r="AJ90" s="2">
        <v>56.335659650079386</v>
      </c>
      <c r="AK90" s="2">
        <v>54.361153683210823</v>
      </c>
      <c r="AL90" s="2">
        <v>52.455852085962071</v>
      </c>
      <c r="AM90" s="2">
        <v>50.617329317537177</v>
      </c>
      <c r="AN90" s="2">
        <v>48.843244849808983</v>
      </c>
      <c r="AO90" s="2">
        <v>47.131340187713953</v>
      </c>
      <c r="AP90" s="2">
        <v>45.479435994079076</v>
      </c>
    </row>
    <row r="91" spans="1:42" x14ac:dyDescent="0.3">
      <c r="A91" s="2" t="str">
        <v/>
      </c>
      <c r="B91" s="2" t="str">
        <v/>
      </c>
      <c r="C91" s="2" t="str">
        <v/>
      </c>
      <c r="D91" s="2" t="str">
        <v/>
      </c>
      <c r="E91" s="2" t="str">
        <v/>
      </c>
      <c r="F91" s="2" t="str">
        <v/>
      </c>
      <c r="G91" s="2" t="str">
        <v/>
      </c>
      <c r="H91" s="2" t="str">
        <v/>
      </c>
      <c r="I91" s="2" t="str">
        <v/>
      </c>
      <c r="J91" s="2" t="str">
        <v/>
      </c>
      <c r="K91" s="2" t="str">
        <v/>
      </c>
      <c r="L91" s="2" t="str">
        <v/>
      </c>
      <c r="M91" s="2" t="str">
        <v/>
      </c>
      <c r="N91" s="2" t="str">
        <v/>
      </c>
      <c r="O91" s="2" t="str">
        <v/>
      </c>
      <c r="P91" s="2">
        <v>112.71058915220647</v>
      </c>
      <c r="Q91" s="2">
        <v>108.76020085121515</v>
      </c>
      <c r="R91" s="2">
        <v>104.94826952969659</v>
      </c>
      <c r="S91" s="2">
        <v>101.26994241528917</v>
      </c>
      <c r="T91" s="2">
        <v>97.720536820228531</v>
      </c>
      <c r="U91" s="2">
        <v>94.295534180060315</v>
      </c>
      <c r="V91" s="2">
        <v>90.990574301289726</v>
      </c>
      <c r="W91" s="2">
        <v>87.801449810645025</v>
      </c>
      <c r="X91" s="2">
        <v>84.724100798888415</v>
      </c>
      <c r="Y91" s="2">
        <v>81.754609652355924</v>
      </c>
      <c r="Z91" s="2">
        <v>78.889196065646289</v>
      </c>
      <c r="AA91" s="2">
        <v>76.124212229109958</v>
      </c>
      <c r="AB91" s="2">
        <v>73.456138185011412</v>
      </c>
      <c r="AC91" s="2">
        <v>70.881577346453426</v>
      </c>
      <c r="AD91" s="2">
        <v>68.397252173358012</v>
      </c>
      <c r="AE91" s="2">
        <v>66.000000000000028</v>
      </c>
      <c r="AF91" s="2">
        <v>63.686769008781106</v>
      </c>
      <c r="AG91" s="2">
        <v>61.454614345118785</v>
      </c>
      <c r="AH91" s="2">
        <v>59.300694368504622</v>
      </c>
      <c r="AI91" s="2">
        <v>57.222267034958769</v>
      </c>
      <c r="AJ91" s="2">
        <v>55.216686406275862</v>
      </c>
      <c r="AK91" s="2">
        <v>53.281399281618086</v>
      </c>
      <c r="AL91" s="2">
        <v>51.413941947167352</v>
      </c>
      <c r="AM91" s="2">
        <v>49.611937039698901</v>
      </c>
      <c r="AN91" s="2">
        <v>47.873090520083245</v>
      </c>
      <c r="AO91" s="2">
        <v>46.195188752863771</v>
      </c>
      <c r="AP91" s="2">
        <v>44.576095688192076</v>
      </c>
    </row>
    <row r="92" spans="1:42" x14ac:dyDescent="0.3">
      <c r="A92" s="2" t="str">
        <v/>
      </c>
      <c r="B92" s="2" t="str">
        <v/>
      </c>
      <c r="C92" s="2" t="str">
        <v/>
      </c>
      <c r="D92" s="2" t="str">
        <v/>
      </c>
      <c r="E92" s="2" t="str">
        <v/>
      </c>
      <c r="F92" s="2" t="str">
        <v/>
      </c>
      <c r="G92" s="2" t="str">
        <v/>
      </c>
      <c r="H92" s="2" t="str">
        <v/>
      </c>
      <c r="I92" s="2" t="str">
        <v/>
      </c>
      <c r="J92" s="2" t="str">
        <v/>
      </c>
      <c r="K92" s="2" t="str">
        <v/>
      </c>
      <c r="L92" s="2" t="str">
        <v/>
      </c>
      <c r="M92" s="2" t="str">
        <v/>
      </c>
      <c r="N92" s="2" t="str">
        <v/>
      </c>
      <c r="O92" s="2">
        <v>108.76020085121515</v>
      </c>
      <c r="P92" s="2">
        <v>104.94826952969659</v>
      </c>
      <c r="Q92" s="2">
        <v>101.26994241528915</v>
      </c>
      <c r="R92" s="2">
        <v>97.720536820228517</v>
      </c>
      <c r="S92" s="2">
        <v>94.295534180060315</v>
      </c>
      <c r="T92" s="2">
        <v>90.990574301289726</v>
      </c>
      <c r="U92" s="2">
        <v>87.801449810645011</v>
      </c>
      <c r="V92" s="2">
        <v>84.724100798888401</v>
      </c>
      <c r="W92" s="2">
        <v>81.754609652355924</v>
      </c>
      <c r="X92" s="2">
        <v>78.889196065646289</v>
      </c>
      <c r="Y92" s="2">
        <v>76.124212229109943</v>
      </c>
      <c r="Z92" s="2">
        <v>73.456138185011412</v>
      </c>
      <c r="AA92" s="2">
        <v>70.881577346453412</v>
      </c>
      <c r="AB92" s="2">
        <v>68.397252173358012</v>
      </c>
      <c r="AC92" s="2">
        <v>66.000000000000028</v>
      </c>
      <c r="AD92" s="2">
        <v>63.686769008781106</v>
      </c>
      <c r="AE92" s="2">
        <v>61.454614345118785</v>
      </c>
      <c r="AF92" s="2">
        <v>59.300694368504608</v>
      </c>
      <c r="AG92" s="2">
        <v>57.222267034958769</v>
      </c>
      <c r="AH92" s="2">
        <v>55.216686406275869</v>
      </c>
      <c r="AI92" s="2">
        <v>53.281399281618079</v>
      </c>
      <c r="AJ92" s="2">
        <v>51.413941947167352</v>
      </c>
      <c r="AK92" s="2">
        <v>49.611937039698901</v>
      </c>
      <c r="AL92" s="2">
        <v>47.873090520083245</v>
      </c>
      <c r="AM92" s="2">
        <v>46.195188752863771</v>
      </c>
      <c r="AN92" s="2">
        <v>44.576095688192069</v>
      </c>
      <c r="AO92" s="2">
        <v>43.013750142533496</v>
      </c>
      <c r="AP92" s="2">
        <v>41.506163174681141</v>
      </c>
    </row>
    <row r="93" spans="1:42" x14ac:dyDescent="0.3">
      <c r="A93" s="2" t="str">
        <v/>
      </c>
      <c r="B93" s="2" t="str">
        <v/>
      </c>
      <c r="C93" s="2" t="str">
        <v/>
      </c>
      <c r="D93" s="2" t="str">
        <v/>
      </c>
      <c r="E93" s="2" t="str">
        <v/>
      </c>
      <c r="F93" s="2" t="str">
        <v/>
      </c>
      <c r="G93" s="2" t="str">
        <v/>
      </c>
      <c r="H93" s="2" t="str">
        <v/>
      </c>
      <c r="I93" s="2" t="str">
        <v/>
      </c>
      <c r="J93" s="2" t="str">
        <v/>
      </c>
      <c r="K93" s="2" t="str">
        <v/>
      </c>
      <c r="L93" s="2" t="str">
        <v/>
      </c>
      <c r="M93" s="2" t="str">
        <v/>
      </c>
      <c r="N93" s="2">
        <v>94.453442576726914</v>
      </c>
      <c r="O93" s="2">
        <v>91.142948173760232</v>
      </c>
      <c r="P93" s="2">
        <v>87.948483138205646</v>
      </c>
      <c r="Q93" s="2">
        <v>84.865980762054264</v>
      </c>
      <c r="R93" s="2">
        <v>81.891516871160746</v>
      </c>
      <c r="S93" s="2">
        <v>79.021304829580501</v>
      </c>
      <c r="T93" s="2">
        <v>76.251690718999541</v>
      </c>
      <c r="U93" s="2">
        <v>73.579148687120309</v>
      </c>
      <c r="V93" s="2">
        <v>71.000276459081661</v>
      </c>
      <c r="W93" s="2">
        <v>68.511791006198948</v>
      </c>
      <c r="X93" s="2">
        <v>66.110524366510262</v>
      </c>
      <c r="Y93" s="2">
        <v>63.793419611808069</v>
      </c>
      <c r="Z93" s="2">
        <v>61.557526956022201</v>
      </c>
      <c r="AA93" s="2">
        <v>59.400000000000013</v>
      </c>
      <c r="AB93" s="2">
        <v>57.318092107902991</v>
      </c>
      <c r="AC93" s="2">
        <v>55.309152910606898</v>
      </c>
      <c r="AD93" s="2">
        <v>53.370624931654142</v>
      </c>
      <c r="AE93" s="2">
        <v>51.500040331462877</v>
      </c>
      <c r="AF93" s="2">
        <v>49.695017765648274</v>
      </c>
      <c r="AG93" s="2">
        <v>47.953259353456275</v>
      </c>
      <c r="AH93" s="2">
        <v>46.272547752450606</v>
      </c>
      <c r="AI93" s="2">
        <v>44.650743335729004</v>
      </c>
      <c r="AJ93" s="2">
        <v>43.085781468074913</v>
      </c>
      <c r="AK93" s="2">
        <v>41.57566987757739</v>
      </c>
      <c r="AL93" s="2">
        <v>40.118486119372861</v>
      </c>
      <c r="AM93" s="2">
        <v>38.712375128280144</v>
      </c>
      <c r="AN93" s="2">
        <v>37.355546857213021</v>
      </c>
      <c r="AO93" s="2">
        <v>36.046273998364001</v>
      </c>
      <c r="AP93" s="2">
        <v>34.782889784258174</v>
      </c>
    </row>
    <row r="94" spans="1:42" x14ac:dyDescent="0.3">
      <c r="A94" s="2" t="str">
        <v/>
      </c>
      <c r="B94" s="2" t="str">
        <v/>
      </c>
      <c r="C94" s="2" t="str">
        <v/>
      </c>
      <c r="D94" s="2" t="str">
        <v/>
      </c>
      <c r="E94" s="2" t="str">
        <v/>
      </c>
      <c r="F94" s="2" t="str">
        <v/>
      </c>
      <c r="G94" s="2" t="str">
        <v/>
      </c>
      <c r="H94" s="2" t="str">
        <v/>
      </c>
      <c r="I94" s="2" t="str">
        <v/>
      </c>
      <c r="J94" s="2" t="str">
        <v/>
      </c>
      <c r="K94" s="2" t="str">
        <v/>
      </c>
      <c r="L94" s="2" t="str">
        <v/>
      </c>
      <c r="M94" s="2">
        <v>81.015953932231326</v>
      </c>
      <c r="N94" s="2">
        <v>78.176429456182817</v>
      </c>
      <c r="O94" s="2">
        <v>75.436427344048241</v>
      </c>
      <c r="P94" s="2">
        <v>72.792459441031781</v>
      </c>
      <c r="Q94" s="2">
        <v>70.24115984851602</v>
      </c>
      <c r="R94" s="2">
        <v>67.779280639110723</v>
      </c>
      <c r="S94" s="2">
        <v>65.403687721884722</v>
      </c>
      <c r="T94" s="2">
        <v>63.111356852517034</v>
      </c>
      <c r="U94" s="2">
        <v>60.899369783287966</v>
      </c>
      <c r="V94" s="2">
        <v>58.764910548009134</v>
      </c>
      <c r="W94" s="2">
        <v>56.705261877162734</v>
      </c>
      <c r="X94" s="2">
        <v>54.717801738686411</v>
      </c>
      <c r="Y94" s="2">
        <v>52.800000000000018</v>
      </c>
      <c r="Z94" s="2">
        <v>50.949415207024884</v>
      </c>
      <c r="AA94" s="2">
        <v>49.163691476095032</v>
      </c>
      <c r="AB94" s="2">
        <v>47.440555494803689</v>
      </c>
      <c r="AC94" s="2">
        <v>45.777813627967006</v>
      </c>
      <c r="AD94" s="2">
        <v>44.173349125020692</v>
      </c>
      <c r="AE94" s="2">
        <v>42.625119425294471</v>
      </c>
      <c r="AF94" s="2">
        <v>41.131153557733882</v>
      </c>
      <c r="AG94" s="2">
        <v>39.689549631759114</v>
      </c>
      <c r="AH94" s="2">
        <v>38.298472416066595</v>
      </c>
      <c r="AI94" s="2">
        <v>36.956151002291016</v>
      </c>
      <c r="AJ94" s="2">
        <v>35.66087655055366</v>
      </c>
      <c r="AK94" s="2">
        <v>34.411000114026798</v>
      </c>
      <c r="AL94" s="2">
        <v>33.204930539744907</v>
      </c>
      <c r="AM94" s="2">
        <v>32.041132442990225</v>
      </c>
      <c r="AN94" s="2">
        <v>30.918124252673937</v>
      </c>
      <c r="AO94" s="2">
        <v>29.834476325224806</v>
      </c>
      <c r="AP94" s="2">
        <v>28.788809124583942</v>
      </c>
    </row>
    <row r="95" spans="1:42" x14ac:dyDescent="0.3">
      <c r="A95" s="2" t="str">
        <v/>
      </c>
      <c r="B95" s="2" t="str">
        <v/>
      </c>
      <c r="C95" s="2" t="str">
        <v/>
      </c>
      <c r="D95" s="2" t="str">
        <v/>
      </c>
      <c r="E95" s="2" t="str">
        <v/>
      </c>
      <c r="F95" s="2" t="str">
        <v/>
      </c>
      <c r="G95" s="2" t="str">
        <v/>
      </c>
      <c r="H95" s="2" t="str">
        <v/>
      </c>
      <c r="I95" s="2" t="str">
        <v/>
      </c>
      <c r="J95" s="2" t="str">
        <v/>
      </c>
      <c r="K95" s="2" t="str">
        <v/>
      </c>
      <c r="L95" s="2">
        <v>78.176429456182817</v>
      </c>
      <c r="M95" s="2">
        <v>75.436427344048241</v>
      </c>
      <c r="N95" s="2">
        <v>72.792459441031781</v>
      </c>
      <c r="O95" s="2">
        <v>70.24115984851602</v>
      </c>
      <c r="P95" s="2">
        <v>67.779280639110723</v>
      </c>
      <c r="Q95" s="2">
        <v>65.403687721884737</v>
      </c>
      <c r="R95" s="2">
        <v>63.111356852517034</v>
      </c>
      <c r="S95" s="2">
        <v>60.899369783287959</v>
      </c>
      <c r="T95" s="2">
        <v>58.764910548009134</v>
      </c>
      <c r="U95" s="2">
        <v>56.705261877162734</v>
      </c>
      <c r="V95" s="2">
        <v>54.717801738686404</v>
      </c>
      <c r="W95" s="2">
        <v>52.800000000000018</v>
      </c>
      <c r="X95" s="2">
        <v>50.949415207024884</v>
      </c>
      <c r="Y95" s="2">
        <v>49.163691476095032</v>
      </c>
      <c r="Z95" s="2">
        <v>47.440555494803696</v>
      </c>
      <c r="AA95" s="2">
        <v>45.777813627967014</v>
      </c>
      <c r="AB95" s="2">
        <v>44.173349125020692</v>
      </c>
      <c r="AC95" s="2">
        <v>42.625119425294464</v>
      </c>
      <c r="AD95" s="2">
        <v>41.131153557733882</v>
      </c>
      <c r="AE95" s="2">
        <v>39.689549631759121</v>
      </c>
      <c r="AF95" s="2">
        <v>38.298472416066595</v>
      </c>
      <c r="AG95" s="2">
        <v>36.956151002291016</v>
      </c>
      <c r="AH95" s="2">
        <v>35.66087655055366</v>
      </c>
      <c r="AI95" s="2">
        <v>34.411000114026798</v>
      </c>
      <c r="AJ95" s="2">
        <v>33.204930539744915</v>
      </c>
      <c r="AK95" s="2">
        <v>32.041132442990225</v>
      </c>
      <c r="AL95" s="2">
        <v>30.918124252673937</v>
      </c>
      <c r="AM95" s="2">
        <v>29.834476325224809</v>
      </c>
      <c r="AN95" s="2">
        <v>28.788809124583938</v>
      </c>
      <c r="AO95" s="2">
        <v>27.77979146598889</v>
      </c>
      <c r="AP95" s="2">
        <v>26.806138821311247</v>
      </c>
    </row>
    <row r="96" spans="1:42" x14ac:dyDescent="0.3">
      <c r="A96" s="2" t="str">
        <v/>
      </c>
      <c r="B96" s="2" t="str">
        <v/>
      </c>
      <c r="C96" s="2" t="str">
        <v/>
      </c>
      <c r="D96" s="2" t="str">
        <v/>
      </c>
      <c r="E96" s="2" t="str">
        <v/>
      </c>
      <c r="F96" s="2" t="str">
        <v/>
      </c>
      <c r="G96" s="2" t="str">
        <v/>
      </c>
      <c r="H96" s="2" t="str">
        <v/>
      </c>
      <c r="I96" s="2" t="str">
        <v/>
      </c>
      <c r="J96" s="2" t="str">
        <v/>
      </c>
      <c r="K96" s="2">
        <v>84.865980762054264</v>
      </c>
      <c r="L96" s="2">
        <v>81.891516871160746</v>
      </c>
      <c r="M96" s="2">
        <v>79.021304829580501</v>
      </c>
      <c r="N96" s="2">
        <v>76.251690718999555</v>
      </c>
      <c r="O96" s="2">
        <v>73.579148687120309</v>
      </c>
      <c r="P96" s="2">
        <v>71.000276459081647</v>
      </c>
      <c r="Q96" s="2">
        <v>68.511791006198948</v>
      </c>
      <c r="R96" s="2">
        <v>66.110524366510262</v>
      </c>
      <c r="S96" s="2">
        <v>63.793419611808069</v>
      </c>
      <c r="T96" s="2">
        <v>61.557526956022201</v>
      </c>
      <c r="U96" s="2">
        <v>59.400000000000006</v>
      </c>
      <c r="V96" s="2">
        <v>57.318092107902984</v>
      </c>
      <c r="W96" s="2">
        <v>55.309152910606898</v>
      </c>
      <c r="X96" s="2">
        <v>53.370624931654142</v>
      </c>
      <c r="Y96" s="2">
        <v>51.500040331462884</v>
      </c>
      <c r="Z96" s="2">
        <v>49.695017765648274</v>
      </c>
      <c r="AA96" s="2">
        <v>47.953259353456261</v>
      </c>
      <c r="AB96" s="2">
        <v>46.272547752450606</v>
      </c>
      <c r="AC96" s="2">
        <v>44.650743335729004</v>
      </c>
      <c r="AD96" s="2">
        <v>43.085781468074913</v>
      </c>
      <c r="AE96" s="2">
        <v>41.575669877577383</v>
      </c>
      <c r="AF96" s="2">
        <v>40.118486119372861</v>
      </c>
      <c r="AG96" s="2">
        <v>38.712375128280144</v>
      </c>
      <c r="AH96" s="2">
        <v>37.355546857213021</v>
      </c>
      <c r="AI96" s="2">
        <v>36.046273998363993</v>
      </c>
      <c r="AJ96" s="2">
        <v>34.782889784258174</v>
      </c>
      <c r="AK96" s="2">
        <v>33.563785865877904</v>
      </c>
      <c r="AL96" s="2">
        <v>32.38741026515693</v>
      </c>
      <c r="AM96" s="2">
        <v>31.252265399237491</v>
      </c>
      <c r="AN96" s="2">
        <v>30.156906173975148</v>
      </c>
      <c r="AO96" s="2">
        <v>29.099938144264232</v>
      </c>
      <c r="AP96" s="2">
        <v>28.080015738842029</v>
      </c>
    </row>
    <row r="97" spans="1:42" x14ac:dyDescent="0.3">
      <c r="A97" s="2" t="str">
        <v/>
      </c>
      <c r="B97" s="2" t="str">
        <v/>
      </c>
      <c r="C97" s="2" t="str">
        <v/>
      </c>
      <c r="D97" s="2" t="str">
        <v/>
      </c>
      <c r="E97" s="2" t="str">
        <v/>
      </c>
      <c r="F97" s="2" t="str">
        <v/>
      </c>
      <c r="G97" s="2" t="str">
        <v/>
      </c>
      <c r="H97" s="2" t="str">
        <v/>
      </c>
      <c r="I97" s="2" t="str">
        <v/>
      </c>
      <c r="J97" s="2">
        <v>81.891516871160732</v>
      </c>
      <c r="K97" s="2">
        <v>79.021304829580487</v>
      </c>
      <c r="L97" s="2">
        <v>76.251690718999541</v>
      </c>
      <c r="M97" s="2">
        <v>73.579148687120309</v>
      </c>
      <c r="N97" s="2">
        <v>71.000276459081647</v>
      </c>
      <c r="O97" s="2">
        <v>68.511791006198933</v>
      </c>
      <c r="P97" s="2">
        <v>66.110524366510248</v>
      </c>
      <c r="Q97" s="2">
        <v>63.793419611808062</v>
      </c>
      <c r="R97" s="2">
        <v>61.557526956022201</v>
      </c>
      <c r="S97" s="2">
        <v>59.400000000000006</v>
      </c>
      <c r="T97" s="2">
        <v>57.318092107902977</v>
      </c>
      <c r="U97" s="2">
        <v>55.309152910606898</v>
      </c>
      <c r="V97" s="2">
        <v>53.370624931654135</v>
      </c>
      <c r="W97" s="2">
        <v>51.50004033146287</v>
      </c>
      <c r="X97" s="2">
        <v>49.695017765648267</v>
      </c>
      <c r="Y97" s="2">
        <v>47.953259353456261</v>
      </c>
      <c r="Z97" s="2">
        <v>46.272547752450599</v>
      </c>
      <c r="AA97" s="2">
        <v>44.65074333572899</v>
      </c>
      <c r="AB97" s="2">
        <v>43.085781468074906</v>
      </c>
      <c r="AC97" s="2">
        <v>41.575669877577383</v>
      </c>
      <c r="AD97" s="2">
        <v>40.118486119372854</v>
      </c>
      <c r="AE97" s="2">
        <v>38.712375128280136</v>
      </c>
      <c r="AF97" s="2">
        <v>37.355546857213014</v>
      </c>
      <c r="AG97" s="2">
        <v>36.046273998363993</v>
      </c>
      <c r="AH97" s="2">
        <v>34.782889784258167</v>
      </c>
      <c r="AI97" s="2">
        <v>33.563785865877897</v>
      </c>
      <c r="AJ97" s="2">
        <v>32.387410265156923</v>
      </c>
      <c r="AK97" s="2">
        <v>31.252265399237491</v>
      </c>
      <c r="AL97" s="2">
        <v>30.156906173975141</v>
      </c>
      <c r="AM97" s="2">
        <v>29.099938144264229</v>
      </c>
      <c r="AN97" s="2">
        <v>28.080015738842022</v>
      </c>
      <c r="AO97" s="2">
        <v>27.095840547311656</v>
      </c>
      <c r="AP97" s="2">
        <v>26.146159667203055</v>
      </c>
    </row>
    <row r="98" spans="1:42" x14ac:dyDescent="0.3">
      <c r="A98" s="2" t="str">
        <v/>
      </c>
      <c r="B98" s="2" t="str">
        <v/>
      </c>
      <c r="C98" s="2" t="str">
        <v/>
      </c>
      <c r="D98" s="2" t="str">
        <v/>
      </c>
      <c r="E98" s="2" t="str">
        <v/>
      </c>
      <c r="F98" s="2" t="str">
        <v/>
      </c>
      <c r="G98" s="2" t="str">
        <v/>
      </c>
      <c r="H98" s="2" t="str">
        <v/>
      </c>
      <c r="I98" s="2">
        <v>70.241159848516006</v>
      </c>
      <c r="J98" s="2">
        <v>67.779280639110709</v>
      </c>
      <c r="K98" s="2">
        <v>65.403687721884722</v>
      </c>
      <c r="L98" s="2">
        <v>63.111356852517034</v>
      </c>
      <c r="M98" s="2">
        <v>60.899369783287959</v>
      </c>
      <c r="N98" s="2">
        <v>58.764910548009127</v>
      </c>
      <c r="O98" s="2">
        <v>56.705261877162727</v>
      </c>
      <c r="P98" s="2">
        <v>54.717801738686404</v>
      </c>
      <c r="Q98" s="2">
        <v>52.800000000000018</v>
      </c>
      <c r="R98" s="2">
        <v>50.949415207024877</v>
      </c>
      <c r="S98" s="2">
        <v>49.163691476095025</v>
      </c>
      <c r="T98" s="2">
        <v>47.440555494803689</v>
      </c>
      <c r="U98" s="2">
        <v>45.777813627967006</v>
      </c>
      <c r="V98" s="2">
        <v>44.173349125020685</v>
      </c>
      <c r="W98" s="2">
        <v>42.625119425294464</v>
      </c>
      <c r="X98" s="2">
        <v>41.131153557733874</v>
      </c>
      <c r="Y98" s="2">
        <v>39.689549631759114</v>
      </c>
      <c r="Z98" s="2">
        <v>38.298472416066588</v>
      </c>
      <c r="AA98" s="2">
        <v>36.956151002291016</v>
      </c>
      <c r="AB98" s="2">
        <v>35.66087655055366</v>
      </c>
      <c r="AC98" s="2">
        <v>34.411000114026791</v>
      </c>
      <c r="AD98" s="2">
        <v>33.204930539744907</v>
      </c>
      <c r="AE98" s="2">
        <v>32.041132442990225</v>
      </c>
      <c r="AF98" s="2">
        <v>30.918124252673934</v>
      </c>
      <c r="AG98" s="2">
        <v>29.834476325224802</v>
      </c>
      <c r="AH98" s="2">
        <v>28.788809124583938</v>
      </c>
      <c r="AI98" s="2">
        <v>27.779791465988886</v>
      </c>
      <c r="AJ98" s="2">
        <v>26.806138821311244</v>
      </c>
      <c r="AK98" s="2">
        <v>25.866611683790428</v>
      </c>
      <c r="AL98" s="2">
        <v>24.960013990081801</v>
      </c>
      <c r="AM98" s="2">
        <v>24.085191597610365</v>
      </c>
      <c r="AN98" s="2">
        <v>23.241030815291609</v>
      </c>
      <c r="AO98" s="2">
        <v>22.426456985749084</v>
      </c>
      <c r="AP98" s="2">
        <v>21.64043311722374</v>
      </c>
    </row>
    <row r="99" spans="1:42" x14ac:dyDescent="0.3">
      <c r="A99" s="2" t="str">
        <v/>
      </c>
      <c r="B99" s="2" t="str">
        <v/>
      </c>
      <c r="C99" s="2" t="str">
        <v/>
      </c>
      <c r="D99" s="2" t="str">
        <v/>
      </c>
      <c r="E99" s="2" t="str">
        <v/>
      </c>
      <c r="F99" s="2" t="str">
        <v/>
      </c>
      <c r="G99" s="2" t="str">
        <v/>
      </c>
      <c r="H99" s="2">
        <v>84.724100798888387</v>
      </c>
      <c r="I99" s="2">
        <v>81.754609652355896</v>
      </c>
      <c r="J99" s="2">
        <v>78.889196065646274</v>
      </c>
      <c r="K99" s="2">
        <v>76.124212229109943</v>
      </c>
      <c r="L99" s="2">
        <v>73.456138185011412</v>
      </c>
      <c r="M99" s="2">
        <v>70.881577346453412</v>
      </c>
      <c r="N99" s="2">
        <v>68.397252173357998</v>
      </c>
      <c r="O99" s="2">
        <v>66.000000000000014</v>
      </c>
      <c r="P99" s="2">
        <v>63.686769008781098</v>
      </c>
      <c r="Q99" s="2">
        <v>61.454614345118777</v>
      </c>
      <c r="R99" s="2">
        <v>59.300694368504601</v>
      </c>
      <c r="S99" s="2">
        <v>57.222267034958755</v>
      </c>
      <c r="T99" s="2">
        <v>55.216686406275855</v>
      </c>
      <c r="U99" s="2">
        <v>53.281399281618071</v>
      </c>
      <c r="V99" s="2">
        <v>51.413941947167345</v>
      </c>
      <c r="W99" s="2">
        <v>49.611937039698887</v>
      </c>
      <c r="X99" s="2">
        <v>47.873090520083231</v>
      </c>
      <c r="Y99" s="2">
        <v>46.195188752863757</v>
      </c>
      <c r="Z99" s="2">
        <v>44.576095688192069</v>
      </c>
      <c r="AA99" s="2">
        <v>43.013750142533496</v>
      </c>
      <c r="AB99" s="2">
        <v>41.506163174681127</v>
      </c>
      <c r="AC99" s="2">
        <v>40.051415553737776</v>
      </c>
      <c r="AD99" s="2">
        <v>38.647655315842414</v>
      </c>
      <c r="AE99" s="2">
        <v>37.293095406531002</v>
      </c>
      <c r="AF99" s="2">
        <v>35.986011405729919</v>
      </c>
      <c r="AG99" s="2">
        <v>34.724739332486102</v>
      </c>
      <c r="AH99" s="2">
        <v>33.507673526639053</v>
      </c>
      <c r="AI99" s="2">
        <v>32.333264604738034</v>
      </c>
      <c r="AJ99" s="2">
        <v>31.200017487602249</v>
      </c>
      <c r="AK99" s="2">
        <v>30.106489497012952</v>
      </c>
      <c r="AL99" s="2">
        <v>29.051288519114511</v>
      </c>
      <c r="AM99" s="2">
        <v>28.033071232186359</v>
      </c>
      <c r="AN99" s="2">
        <v>27.050541396529674</v>
      </c>
      <c r="AO99" s="2">
        <v>26.102448204291754</v>
      </c>
      <c r="AP99" s="2">
        <v>25.187584687127295</v>
      </c>
    </row>
    <row r="100" spans="1:42" x14ac:dyDescent="0.3">
      <c r="A100" s="2" t="str">
        <v/>
      </c>
      <c r="B100" s="2" t="str">
        <v/>
      </c>
      <c r="C100" s="2" t="str">
        <v/>
      </c>
      <c r="D100" s="2" t="str">
        <v/>
      </c>
      <c r="E100" s="2" t="str">
        <v/>
      </c>
      <c r="F100" s="2" t="str">
        <v/>
      </c>
      <c r="G100" s="2">
        <v>77.666879169738095</v>
      </c>
      <c r="H100" s="2">
        <v>74.944736262363961</v>
      </c>
      <c r="I100" s="2">
        <v>72.318001617654431</v>
      </c>
      <c r="J100" s="2">
        <v>69.78333127576083</v>
      </c>
      <c r="K100" s="2">
        <v>67.33749847913073</v>
      </c>
      <c r="L100" s="2">
        <v>64.977389564690085</v>
      </c>
      <c r="M100" s="2">
        <v>62.7</v>
      </c>
      <c r="N100" s="2">
        <v>60.502430558342034</v>
      </c>
      <c r="O100" s="2">
        <v>58.381883627862834</v>
      </c>
      <c r="P100" s="2">
        <v>56.335659650079364</v>
      </c>
      <c r="Q100" s="2">
        <v>54.361153683210809</v>
      </c>
      <c r="R100" s="2">
        <v>52.455852085962057</v>
      </c>
      <c r="S100" s="2">
        <v>50.617329317537163</v>
      </c>
      <c r="T100" s="2">
        <v>48.843244849808968</v>
      </c>
      <c r="U100" s="2">
        <v>47.131340187713938</v>
      </c>
      <c r="V100" s="2">
        <v>45.479435994079068</v>
      </c>
      <c r="W100" s="2">
        <v>43.885429315220563</v>
      </c>
      <c r="X100" s="2">
        <v>42.347290903782451</v>
      </c>
      <c r="Y100" s="2">
        <v>40.863062635406813</v>
      </c>
      <c r="Z100" s="2">
        <v>39.430855015947074</v>
      </c>
      <c r="AA100" s="2">
        <v>38.048844776050878</v>
      </c>
      <c r="AB100" s="2">
        <v>36.715272550050287</v>
      </c>
      <c r="AC100" s="2">
        <v>35.428440636204449</v>
      </c>
      <c r="AD100" s="2">
        <v>34.186710835443421</v>
      </c>
      <c r="AE100" s="2">
        <v>32.988502365861791</v>
      </c>
      <c r="AF100" s="2">
        <v>31.832289850307092</v>
      </c>
      <c r="AG100" s="2">
        <v>30.716601374501131</v>
      </c>
      <c r="AH100" s="2">
        <v>29.640016613222134</v>
      </c>
      <c r="AI100" s="2">
        <v>28.601165022162299</v>
      </c>
      <c r="AJ100" s="2">
        <v>27.598724093158779</v>
      </c>
      <c r="AK100" s="2">
        <v>26.631417670577036</v>
      </c>
      <c r="AL100" s="2">
        <v>25.698014326703191</v>
      </c>
      <c r="AM100" s="2">
        <v>24.797325794077164</v>
      </c>
      <c r="AN100" s="2">
        <v>23.928205452770925</v>
      </c>
      <c r="AO100" s="2">
        <v>23.089546870686032</v>
      </c>
      <c r="AP100" s="2">
        <v>22.280282395012204</v>
      </c>
    </row>
    <row r="101" spans="1:42" x14ac:dyDescent="0.3">
      <c r="A101" s="2" t="str">
        <v/>
      </c>
      <c r="B101" s="2" t="str">
        <v/>
      </c>
      <c r="C101" s="2" t="str">
        <v/>
      </c>
      <c r="D101" s="2" t="str">
        <v/>
      </c>
      <c r="E101" s="2" t="str">
        <v/>
      </c>
      <c r="F101" s="2">
        <v>63.111356852517019</v>
      </c>
      <c r="G101" s="2">
        <v>60.899369783287945</v>
      </c>
      <c r="H101" s="2">
        <v>58.764910548009119</v>
      </c>
      <c r="I101" s="2">
        <v>56.705261877162727</v>
      </c>
      <c r="J101" s="2">
        <v>54.717801738686397</v>
      </c>
      <c r="K101" s="2">
        <v>52.800000000000004</v>
      </c>
      <c r="L101" s="2">
        <v>50.94941520702487</v>
      </c>
      <c r="M101" s="2">
        <v>49.163691476095018</v>
      </c>
      <c r="N101" s="2">
        <v>47.440555494803682</v>
      </c>
      <c r="O101" s="2">
        <v>45.777813627966999</v>
      </c>
      <c r="P101" s="2">
        <v>44.173349125020678</v>
      </c>
      <c r="Q101" s="2">
        <v>42.625119425294457</v>
      </c>
      <c r="R101" s="2">
        <v>41.131153557733867</v>
      </c>
      <c r="S101" s="2">
        <v>39.689549631759107</v>
      </c>
      <c r="T101" s="2">
        <v>38.298472416066588</v>
      </c>
      <c r="U101" s="2">
        <v>36.956151002291008</v>
      </c>
      <c r="V101" s="2">
        <v>35.660876550553645</v>
      </c>
      <c r="W101" s="2">
        <v>34.411000114026784</v>
      </c>
      <c r="X101" s="2">
        <v>33.204930539744907</v>
      </c>
      <c r="Y101" s="2">
        <v>32.041132442990218</v>
      </c>
      <c r="Z101" s="2">
        <v>30.918124252673927</v>
      </c>
      <c r="AA101" s="2">
        <v>29.834476325224799</v>
      </c>
      <c r="AB101" s="2">
        <v>28.788809124583935</v>
      </c>
      <c r="AC101" s="2">
        <v>27.779791465988882</v>
      </c>
      <c r="AD101" s="2">
        <v>26.80613882131124</v>
      </c>
      <c r="AE101" s="2">
        <v>25.866611683790424</v>
      </c>
      <c r="AF101" s="2">
        <v>24.960013990081801</v>
      </c>
      <c r="AG101" s="2">
        <v>24.085191597610361</v>
      </c>
      <c r="AH101" s="2">
        <v>23.241030815291605</v>
      </c>
      <c r="AI101" s="2">
        <v>22.426456985749084</v>
      </c>
      <c r="AJ101" s="2">
        <v>21.64043311722374</v>
      </c>
      <c r="AK101" s="2">
        <v>20.881958563433404</v>
      </c>
      <c r="AL101" s="2">
        <v>20.150067749701833</v>
      </c>
      <c r="AM101" s="2">
        <v>19.443828943735603</v>
      </c>
      <c r="AN101" s="2">
        <v>18.762343069483961</v>
      </c>
      <c r="AO101" s="2">
        <v>18.104742562571662</v>
      </c>
      <c r="AP101" s="2">
        <v>17.470190265847705</v>
      </c>
    </row>
    <row r="102" spans="1:42" x14ac:dyDescent="0.3">
      <c r="A102" s="2" t="str">
        <v/>
      </c>
      <c r="B102" s="2" t="str">
        <v/>
      </c>
      <c r="C102" s="2" t="str">
        <v/>
      </c>
      <c r="D102" s="2" t="str">
        <v/>
      </c>
      <c r="E102" s="2">
        <v>68.511791006198933</v>
      </c>
      <c r="F102" s="2">
        <v>66.110524366510248</v>
      </c>
      <c r="G102" s="2">
        <v>63.793419611808055</v>
      </c>
      <c r="H102" s="2">
        <v>61.557526956022194</v>
      </c>
      <c r="I102" s="2">
        <v>59.400000000000006</v>
      </c>
      <c r="J102" s="2">
        <v>57.31809210790297</v>
      </c>
      <c r="K102" s="2">
        <v>55.309152910606883</v>
      </c>
      <c r="L102" s="2">
        <v>53.370624931654135</v>
      </c>
      <c r="M102" s="2">
        <v>51.50004033146287</v>
      </c>
      <c r="N102" s="2">
        <v>49.695017765648259</v>
      </c>
      <c r="O102" s="2">
        <v>47.953259353456254</v>
      </c>
      <c r="P102" s="2">
        <v>46.272547752450599</v>
      </c>
      <c r="Q102" s="2">
        <v>44.65074333572899</v>
      </c>
      <c r="R102" s="2">
        <v>43.085781468074906</v>
      </c>
      <c r="S102" s="2">
        <v>41.575669877577383</v>
      </c>
      <c r="T102" s="2">
        <v>40.118486119372854</v>
      </c>
      <c r="U102" s="2">
        <v>38.712375128280129</v>
      </c>
      <c r="V102" s="2">
        <v>37.355546857213014</v>
      </c>
      <c r="W102" s="2">
        <v>36.046273998363993</v>
      </c>
      <c r="X102" s="2">
        <v>34.782889784258174</v>
      </c>
      <c r="Y102" s="2">
        <v>33.563785865877897</v>
      </c>
      <c r="Z102" s="2">
        <v>32.387410265156923</v>
      </c>
      <c r="AA102" s="2">
        <v>31.252265399237491</v>
      </c>
      <c r="AB102" s="2">
        <v>30.156906173975145</v>
      </c>
      <c r="AC102" s="2">
        <v>29.099938144264225</v>
      </c>
      <c r="AD102" s="2">
        <v>28.080015738842018</v>
      </c>
      <c r="AE102" s="2">
        <v>27.095840547311653</v>
      </c>
      <c r="AF102" s="2">
        <v>26.146159667203055</v>
      </c>
      <c r="AG102" s="2">
        <v>25.229764108967714</v>
      </c>
      <c r="AH102" s="2">
        <v>24.345487256876705</v>
      </c>
      <c r="AI102" s="2">
        <v>23.492203383862577</v>
      </c>
      <c r="AJ102" s="2">
        <v>22.668826218414566</v>
      </c>
      <c r="AK102" s="2">
        <v>21.874307561702555</v>
      </c>
      <c r="AL102" s="2">
        <v>21.107635953169453</v>
      </c>
      <c r="AM102" s="2">
        <v>20.367835382893116</v>
      </c>
      <c r="AN102" s="2">
        <v>19.65396404907867</v>
      </c>
      <c r="AO102" s="2">
        <v>18.965113159099406</v>
      </c>
      <c r="AP102" s="2">
        <v>18.300405772559976</v>
      </c>
    </row>
    <row r="103" spans="1:42" x14ac:dyDescent="0.3">
      <c r="A103" s="2" t="str">
        <v/>
      </c>
      <c r="B103" s="2" t="str">
        <v/>
      </c>
      <c r="C103" s="2" t="str">
        <v/>
      </c>
      <c r="D103" s="2">
        <v>69.78333127576083</v>
      </c>
      <c r="E103" s="2">
        <v>67.33749847913073</v>
      </c>
      <c r="F103" s="2">
        <v>64.9773895646901</v>
      </c>
      <c r="G103" s="2">
        <v>62.70000000000001</v>
      </c>
      <c r="H103" s="2">
        <v>60.502430558342041</v>
      </c>
      <c r="I103" s="2">
        <v>58.381883627862834</v>
      </c>
      <c r="J103" s="2">
        <v>56.335659650079364</v>
      </c>
      <c r="K103" s="2">
        <v>54.361153683210816</v>
      </c>
      <c r="L103" s="2">
        <v>52.455852085962064</v>
      </c>
      <c r="M103" s="2">
        <v>50.61732931753717</v>
      </c>
      <c r="N103" s="2">
        <v>48.843244849808968</v>
      </c>
      <c r="O103" s="2">
        <v>47.131340187713946</v>
      </c>
      <c r="P103" s="2">
        <v>45.479435994079068</v>
      </c>
      <c r="Q103" s="2">
        <v>43.88542931522057</v>
      </c>
      <c r="R103" s="2">
        <v>42.347290903782458</v>
      </c>
      <c r="S103" s="2">
        <v>40.863062635406813</v>
      </c>
      <c r="T103" s="2">
        <v>39.430855015947074</v>
      </c>
      <c r="U103" s="2">
        <v>38.048844776050878</v>
      </c>
      <c r="V103" s="2">
        <v>36.715272550050294</v>
      </c>
      <c r="W103" s="2">
        <v>35.428440636204456</v>
      </c>
      <c r="X103" s="2">
        <v>34.186710835443421</v>
      </c>
      <c r="Y103" s="2">
        <v>32.988502365861798</v>
      </c>
      <c r="Z103" s="2">
        <v>31.832289850307099</v>
      </c>
      <c r="AA103" s="2">
        <v>30.716601374501131</v>
      </c>
      <c r="AB103" s="2">
        <v>29.640016613222137</v>
      </c>
      <c r="AC103" s="2">
        <v>28.601165022162302</v>
      </c>
      <c r="AD103" s="2">
        <v>27.598724093158783</v>
      </c>
      <c r="AE103" s="2">
        <v>26.63141767057704</v>
      </c>
      <c r="AF103" s="2">
        <v>25.698014326703188</v>
      </c>
      <c r="AG103" s="2">
        <v>24.797325794077167</v>
      </c>
      <c r="AH103" s="2">
        <v>23.928205452770932</v>
      </c>
      <c r="AI103" s="2">
        <v>23.089546870686036</v>
      </c>
      <c r="AJ103" s="2">
        <v>22.2802823950122</v>
      </c>
      <c r="AK103" s="2">
        <v>21.499381793053846</v>
      </c>
      <c r="AL103" s="2">
        <v>20.745850940694151</v>
      </c>
      <c r="AM103" s="2">
        <v>20.018730556827155</v>
      </c>
      <c r="AN103" s="2">
        <v>19.317094982146642</v>
      </c>
      <c r="AO103" s="2">
        <v>18.640051000737234</v>
      </c>
      <c r="AP103" s="2">
        <v>17.986736702967438</v>
      </c>
    </row>
    <row r="104" spans="1:42" x14ac:dyDescent="0.3">
      <c r="A104" s="2" t="str">
        <v/>
      </c>
      <c r="B104" s="2" t="str">
        <v/>
      </c>
      <c r="C104" s="2">
        <v>70.881577346453398</v>
      </c>
      <c r="D104" s="2">
        <v>68.397252173357998</v>
      </c>
      <c r="E104" s="2">
        <v>66</v>
      </c>
      <c r="F104" s="2">
        <v>63.686769008781091</v>
      </c>
      <c r="G104" s="2">
        <v>61.45461434511877</v>
      </c>
      <c r="H104" s="2">
        <v>59.300694368504594</v>
      </c>
      <c r="I104" s="2">
        <v>57.22226703495874</v>
      </c>
      <c r="J104" s="2">
        <v>55.216686406275848</v>
      </c>
      <c r="K104" s="2">
        <v>53.281399281618071</v>
      </c>
      <c r="L104" s="2">
        <v>51.413941947167331</v>
      </c>
      <c r="M104" s="2">
        <v>49.61193703969888</v>
      </c>
      <c r="N104" s="2">
        <v>47.873090520083231</v>
      </c>
      <c r="O104" s="2">
        <v>46.19518875286375</v>
      </c>
      <c r="P104" s="2">
        <v>44.576095688192055</v>
      </c>
      <c r="Q104" s="2">
        <v>43.013750142533489</v>
      </c>
      <c r="R104" s="2">
        <v>41.506163174681127</v>
      </c>
      <c r="S104" s="2">
        <v>40.051415553737762</v>
      </c>
      <c r="T104" s="2">
        <v>38.647655315842407</v>
      </c>
      <c r="U104" s="2">
        <v>37.293095406531002</v>
      </c>
      <c r="V104" s="2">
        <v>35.986011405729919</v>
      </c>
      <c r="W104" s="2">
        <v>34.724739332486095</v>
      </c>
      <c r="X104" s="2">
        <v>33.507673526639046</v>
      </c>
      <c r="Y104" s="2">
        <v>32.333264604738034</v>
      </c>
      <c r="Z104" s="2">
        <v>31.200017487602249</v>
      </c>
      <c r="AA104" s="2">
        <v>30.106489497012948</v>
      </c>
      <c r="AB104" s="2">
        <v>29.051288519114504</v>
      </c>
      <c r="AC104" s="2">
        <v>28.033071232186355</v>
      </c>
      <c r="AD104" s="2">
        <v>27.050541396529674</v>
      </c>
      <c r="AE104" s="2">
        <v>26.10244820429175</v>
      </c>
      <c r="AF104" s="2">
        <v>25.187584687127295</v>
      </c>
      <c r="AG104" s="2">
        <v>24.304786179669506</v>
      </c>
      <c r="AH104" s="2">
        <v>23.452928836854952</v>
      </c>
      <c r="AI104" s="2">
        <v>22.630928203214573</v>
      </c>
      <c r="AJ104" s="2">
        <v>21.837737832309632</v>
      </c>
      <c r="AK104" s="2">
        <v>21.072347954554896</v>
      </c>
      <c r="AL104" s="2">
        <v>20.333784191733308</v>
      </c>
      <c r="AM104" s="2">
        <v>19.621106316565506</v>
      </c>
      <c r="AN104" s="2">
        <v>18.933407055755197</v>
      </c>
      <c r="AO104" s="2">
        <v>18.26981093498647</v>
      </c>
      <c r="AP104" s="2">
        <v>17.629473164402818</v>
      </c>
    </row>
    <row r="105" spans="1:42" x14ac:dyDescent="0.3">
      <c r="A105" s="2" t="str">
        <v/>
      </c>
      <c r="B105" s="2">
        <v>64.977389564690085</v>
      </c>
      <c r="C105" s="2">
        <v>62.699999999999996</v>
      </c>
      <c r="D105" s="2">
        <v>60.50243055834202</v>
      </c>
      <c r="E105" s="2">
        <v>58.381883627862827</v>
      </c>
      <c r="F105" s="2">
        <v>56.335659650079364</v>
      </c>
      <c r="G105" s="2">
        <v>54.361153683210802</v>
      </c>
      <c r="H105" s="2">
        <v>52.45585208596205</v>
      </c>
      <c r="I105" s="2">
        <v>50.617329317537155</v>
      </c>
      <c r="J105" s="2">
        <v>48.843244849808968</v>
      </c>
      <c r="K105" s="2">
        <v>47.131340187713931</v>
      </c>
      <c r="L105" s="2">
        <v>45.479435994079061</v>
      </c>
      <c r="M105" s="2">
        <v>43.885429315220563</v>
      </c>
      <c r="N105" s="2">
        <v>42.347290903782451</v>
      </c>
      <c r="O105" s="2">
        <v>40.863062635406806</v>
      </c>
      <c r="P105" s="2">
        <v>39.430855015947067</v>
      </c>
      <c r="Q105" s="2">
        <v>38.048844776050871</v>
      </c>
      <c r="R105" s="2">
        <v>36.71527255005028</v>
      </c>
      <c r="S105" s="2">
        <v>35.428440636204442</v>
      </c>
      <c r="T105" s="2">
        <v>34.186710835443421</v>
      </c>
      <c r="U105" s="2">
        <v>32.988502365861791</v>
      </c>
      <c r="V105" s="2">
        <v>31.832289850307092</v>
      </c>
      <c r="W105" s="2">
        <v>30.716601374501128</v>
      </c>
      <c r="X105" s="2">
        <v>29.640016613222134</v>
      </c>
      <c r="Y105" s="2">
        <v>28.601165022162299</v>
      </c>
      <c r="Z105" s="2">
        <v>27.598724093158776</v>
      </c>
      <c r="AA105" s="2">
        <v>26.631417670577033</v>
      </c>
      <c r="AB105" s="2">
        <v>25.698014326703188</v>
      </c>
      <c r="AC105" s="2">
        <v>24.797325794077164</v>
      </c>
      <c r="AD105" s="2">
        <v>23.928205452770925</v>
      </c>
      <c r="AE105" s="2">
        <v>23.089546870686029</v>
      </c>
      <c r="AF105" s="2">
        <v>22.2802823950122</v>
      </c>
      <c r="AG105" s="2">
        <v>21.499381793053846</v>
      </c>
      <c r="AH105" s="2">
        <v>20.745850940694147</v>
      </c>
      <c r="AI105" s="2">
        <v>20.018730556827148</v>
      </c>
      <c r="AJ105" s="2">
        <v>19.317094982146639</v>
      </c>
      <c r="AK105" s="2">
        <v>18.64005100073723</v>
      </c>
      <c r="AL105" s="2">
        <v>17.986736702967431</v>
      </c>
      <c r="AM105" s="2">
        <v>17.356320388237144</v>
      </c>
      <c r="AN105" s="2">
        <v>16.747999506182676</v>
      </c>
      <c r="AO105" s="2">
        <v>16.160999634991448</v>
      </c>
      <c r="AP105" s="2">
        <v>15.594573495525694</v>
      </c>
    </row>
    <row r="106" spans="1:42" x14ac:dyDescent="0.3">
      <c r="A106" s="2">
        <v>59.4</v>
      </c>
      <c r="B106" s="2">
        <v>57.31809210790297</v>
      </c>
      <c r="C106" s="2">
        <v>55.309152910606883</v>
      </c>
      <c r="D106" s="2">
        <v>53.370624931654135</v>
      </c>
      <c r="E106" s="2">
        <v>51.50004033146287</v>
      </c>
      <c r="F106" s="2">
        <v>49.695017765648259</v>
      </c>
      <c r="G106" s="2">
        <v>47.953259353456254</v>
      </c>
      <c r="H106" s="2">
        <v>46.272547752450599</v>
      </c>
      <c r="I106" s="2">
        <v>44.65074333572899</v>
      </c>
      <c r="J106" s="2">
        <v>43.085781468074899</v>
      </c>
      <c r="K106" s="2">
        <v>41.575669877577376</v>
      </c>
      <c r="L106" s="2">
        <v>40.118486119372854</v>
      </c>
      <c r="M106" s="2">
        <v>38.712375128280129</v>
      </c>
      <c r="N106" s="2">
        <v>37.355546857213014</v>
      </c>
      <c r="O106" s="2">
        <v>36.046273998363986</v>
      </c>
      <c r="P106" s="2">
        <v>34.782889784258167</v>
      </c>
      <c r="Q106" s="2">
        <v>33.56378586587789</v>
      </c>
      <c r="R106" s="2">
        <v>32.387410265156916</v>
      </c>
      <c r="S106" s="2">
        <v>31.252265399237487</v>
      </c>
      <c r="T106" s="2">
        <v>30.156906173975145</v>
      </c>
      <c r="U106" s="2">
        <v>29.099938144264222</v>
      </c>
      <c r="V106" s="2">
        <v>28.080015738842022</v>
      </c>
      <c r="W106" s="2">
        <v>27.095840547311653</v>
      </c>
      <c r="X106" s="2">
        <v>26.146159667203055</v>
      </c>
      <c r="Y106" s="2">
        <v>25.229764108967714</v>
      </c>
      <c r="Z106" s="2">
        <v>24.345487256876702</v>
      </c>
      <c r="AA106" s="2">
        <v>23.492203383862577</v>
      </c>
      <c r="AB106" s="2">
        <v>22.668826218414562</v>
      </c>
      <c r="AC106" s="2">
        <v>21.874307561702551</v>
      </c>
      <c r="AD106" s="2">
        <v>21.107635953169453</v>
      </c>
      <c r="AE106" s="2">
        <v>20.367835382893116</v>
      </c>
      <c r="AF106" s="2">
        <v>19.653964049078667</v>
      </c>
      <c r="AG106" s="2">
        <v>18.965113159099406</v>
      </c>
      <c r="AH106" s="2">
        <v>18.300405772559973</v>
      </c>
      <c r="AI106" s="2">
        <v>17.658995684908955</v>
      </c>
      <c r="AJ106" s="2">
        <v>17.040066350179675</v>
      </c>
      <c r="AK106" s="2">
        <v>16.442829841487821</v>
      </c>
      <c r="AL106" s="2">
        <v>15.866525847962537</v>
      </c>
      <c r="AM106" s="2">
        <v>15.310420706834005</v>
      </c>
      <c r="AN106" s="2">
        <v>14.773806469445395</v>
      </c>
      <c r="AO106" s="2">
        <v>14.256000000000066</v>
      </c>
      <c r="AP106" s="2">
        <v>13.756342105896779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2018-02-17T23:37:05Z</dcterms:modified>
</cp:coreProperties>
</file>