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omework\金融商品設計與定價作業\"/>
    </mc:Choice>
  </mc:AlternateContent>
  <bookViews>
    <workbookView xWindow="0" yWindow="0" windowWidth="7728" windowHeight="5172" activeTab="1"/>
  </bookViews>
  <sheets>
    <sheet name="Barrier" sheetId="1" r:id="rId1"/>
    <sheet name="TRF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H9" i="2" l="1"/>
  <c r="H12" i="1" l="1"/>
  <c r="G12" i="1"/>
  <c r="C9" i="2" l="1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8" i="2"/>
  <c r="D9" i="2"/>
  <c r="D10" i="2"/>
  <c r="D11" i="2"/>
  <c r="D12" i="2"/>
  <c r="D13" i="2"/>
  <c r="D14" i="2"/>
  <c r="D15" i="2"/>
  <c r="D16" i="2"/>
  <c r="E16" i="2" s="1"/>
  <c r="D17" i="2"/>
  <c r="D18" i="2"/>
  <c r="D19" i="2"/>
  <c r="D20" i="2"/>
  <c r="D21" i="2"/>
  <c r="D22" i="2"/>
  <c r="D23" i="2"/>
  <c r="D24" i="2"/>
  <c r="E24" i="2" s="1"/>
  <c r="D25" i="2"/>
  <c r="D26" i="2"/>
  <c r="D27" i="2"/>
  <c r="D28" i="2"/>
  <c r="D29" i="2"/>
  <c r="D30" i="2"/>
  <c r="D31" i="2"/>
  <c r="D32" i="2"/>
  <c r="E32" i="2" s="1"/>
  <c r="D33" i="2"/>
  <c r="D34" i="2"/>
  <c r="D35" i="2"/>
  <c r="D36" i="2"/>
  <c r="D37" i="2"/>
  <c r="D38" i="2"/>
  <c r="D39" i="2"/>
  <c r="D40" i="2"/>
  <c r="E40" i="2" s="1"/>
  <c r="D41" i="2"/>
  <c r="D42" i="2"/>
  <c r="D43" i="2"/>
  <c r="D44" i="2"/>
  <c r="D45" i="2"/>
  <c r="D46" i="2"/>
  <c r="D47" i="2"/>
  <c r="D48" i="2"/>
  <c r="E48" i="2" s="1"/>
  <c r="D49" i="2"/>
  <c r="D50" i="2"/>
  <c r="D51" i="2"/>
  <c r="D52" i="2"/>
  <c r="D53" i="2"/>
  <c r="D54" i="2"/>
  <c r="D55" i="2"/>
  <c r="D56" i="2"/>
  <c r="E56" i="2" s="1"/>
  <c r="D57" i="2"/>
  <c r="D58" i="2"/>
  <c r="D59" i="2"/>
  <c r="D60" i="2"/>
  <c r="D61" i="2"/>
  <c r="D62" i="2"/>
  <c r="D63" i="2"/>
  <c r="D64" i="2"/>
  <c r="E64" i="2" s="1"/>
  <c r="D65" i="2"/>
  <c r="D66" i="2"/>
  <c r="D67" i="2"/>
  <c r="D68" i="2"/>
  <c r="D69" i="2"/>
  <c r="D70" i="2"/>
  <c r="D71" i="2"/>
  <c r="D72" i="2"/>
  <c r="E72" i="2" s="1"/>
  <c r="D73" i="2"/>
  <c r="D74" i="2"/>
  <c r="D75" i="2"/>
  <c r="D76" i="2"/>
  <c r="D77" i="2"/>
  <c r="D78" i="2"/>
  <c r="D79" i="2"/>
  <c r="D80" i="2"/>
  <c r="E80" i="2" s="1"/>
  <c r="D81" i="2"/>
  <c r="D82" i="2"/>
  <c r="D83" i="2"/>
  <c r="D84" i="2"/>
  <c r="D85" i="2"/>
  <c r="D86" i="2"/>
  <c r="D87" i="2"/>
  <c r="D88" i="2"/>
  <c r="E88" i="2" s="1"/>
  <c r="D89" i="2"/>
  <c r="D90" i="2"/>
  <c r="D91" i="2"/>
  <c r="D92" i="2"/>
  <c r="D93" i="2"/>
  <c r="D94" i="2"/>
  <c r="D95" i="2"/>
  <c r="D96" i="2"/>
  <c r="E96" i="2" s="1"/>
  <c r="D97" i="2"/>
  <c r="D98" i="2"/>
  <c r="D99" i="2"/>
  <c r="D100" i="2"/>
  <c r="D101" i="2"/>
  <c r="D102" i="2"/>
  <c r="D103" i="2"/>
  <c r="D104" i="2"/>
  <c r="E104" i="2" s="1"/>
  <c r="D105" i="2"/>
  <c r="D106" i="2"/>
  <c r="D107" i="2"/>
  <c r="D108" i="2"/>
  <c r="D109" i="2"/>
  <c r="D110" i="2"/>
  <c r="D111" i="2"/>
  <c r="D112" i="2"/>
  <c r="E112" i="2" s="1"/>
  <c r="D113" i="2"/>
  <c r="D114" i="2"/>
  <c r="D115" i="2"/>
  <c r="D116" i="2"/>
  <c r="D117" i="2"/>
  <c r="D118" i="2"/>
  <c r="D119" i="2"/>
  <c r="D120" i="2"/>
  <c r="E120" i="2" s="1"/>
  <c r="D121" i="2"/>
  <c r="D122" i="2"/>
  <c r="D123" i="2"/>
  <c r="D124" i="2"/>
  <c r="D125" i="2"/>
  <c r="D126" i="2"/>
  <c r="D127" i="2"/>
  <c r="D128" i="2"/>
  <c r="E128" i="2" s="1"/>
  <c r="D129" i="2"/>
  <c r="D130" i="2"/>
  <c r="D131" i="2"/>
  <c r="D132" i="2"/>
  <c r="D133" i="2"/>
  <c r="D134" i="2"/>
  <c r="D135" i="2"/>
  <c r="D136" i="2"/>
  <c r="E136" i="2" s="1"/>
  <c r="D137" i="2"/>
  <c r="D138" i="2"/>
  <c r="D139" i="2"/>
  <c r="D140" i="2"/>
  <c r="D141" i="2"/>
  <c r="D142" i="2"/>
  <c r="D143" i="2"/>
  <c r="D144" i="2"/>
  <c r="E144" i="2" s="1"/>
  <c r="D145" i="2"/>
  <c r="D146" i="2"/>
  <c r="D147" i="2"/>
  <c r="D148" i="2"/>
  <c r="D149" i="2"/>
  <c r="D150" i="2"/>
  <c r="D151" i="2"/>
  <c r="D152" i="2"/>
  <c r="E152" i="2" s="1"/>
  <c r="D153" i="2"/>
  <c r="D154" i="2"/>
  <c r="D155" i="2"/>
  <c r="D156" i="2"/>
  <c r="D157" i="2"/>
  <c r="D158" i="2"/>
  <c r="D159" i="2"/>
  <c r="D160" i="2"/>
  <c r="E160" i="2" s="1"/>
  <c r="D161" i="2"/>
  <c r="D162" i="2"/>
  <c r="D163" i="2"/>
  <c r="D164" i="2"/>
  <c r="D165" i="2"/>
  <c r="D166" i="2"/>
  <c r="D167" i="2"/>
  <c r="D168" i="2"/>
  <c r="E168" i="2" s="1"/>
  <c r="D169" i="2"/>
  <c r="D170" i="2"/>
  <c r="D171" i="2"/>
  <c r="D172" i="2"/>
  <c r="D173" i="2"/>
  <c r="D174" i="2"/>
  <c r="D175" i="2"/>
  <c r="D176" i="2"/>
  <c r="E176" i="2" s="1"/>
  <c r="D177" i="2"/>
  <c r="D178" i="2"/>
  <c r="D179" i="2"/>
  <c r="D180" i="2"/>
  <c r="D181" i="2"/>
  <c r="D182" i="2"/>
  <c r="D183" i="2"/>
  <c r="D184" i="2"/>
  <c r="E184" i="2" s="1"/>
  <c r="D185" i="2"/>
  <c r="D186" i="2"/>
  <c r="D187" i="2"/>
  <c r="D188" i="2"/>
  <c r="D189" i="2"/>
  <c r="D190" i="2"/>
  <c r="D191" i="2"/>
  <c r="D192" i="2"/>
  <c r="E192" i="2" s="1"/>
  <c r="D193" i="2"/>
  <c r="D194" i="2"/>
  <c r="D195" i="2"/>
  <c r="D196" i="2"/>
  <c r="D197" i="2"/>
  <c r="D198" i="2"/>
  <c r="D199" i="2"/>
  <c r="D200" i="2"/>
  <c r="E200" i="2" s="1"/>
  <c r="D201" i="2"/>
  <c r="D202" i="2"/>
  <c r="D203" i="2"/>
  <c r="D204" i="2"/>
  <c r="D205" i="2"/>
  <c r="D206" i="2"/>
  <c r="D207" i="2"/>
  <c r="D208" i="2"/>
  <c r="E208" i="2" s="1"/>
  <c r="D209" i="2"/>
  <c r="D210" i="2"/>
  <c r="D211" i="2"/>
  <c r="D212" i="2"/>
  <c r="D213" i="2"/>
  <c r="D214" i="2"/>
  <c r="D215" i="2"/>
  <c r="D216" i="2"/>
  <c r="E216" i="2" s="1"/>
  <c r="D217" i="2"/>
  <c r="D218" i="2"/>
  <c r="D219" i="2"/>
  <c r="D220" i="2"/>
  <c r="D221" i="2"/>
  <c r="D222" i="2"/>
  <c r="D223" i="2"/>
  <c r="D224" i="2"/>
  <c r="E224" i="2" s="1"/>
  <c r="D225" i="2"/>
  <c r="D226" i="2"/>
  <c r="D227" i="2"/>
  <c r="D228" i="2"/>
  <c r="D229" i="2"/>
  <c r="D230" i="2"/>
  <c r="D231" i="2"/>
  <c r="D232" i="2"/>
  <c r="E232" i="2" s="1"/>
  <c r="D233" i="2"/>
  <c r="D234" i="2"/>
  <c r="D235" i="2"/>
  <c r="D236" i="2"/>
  <c r="D237" i="2"/>
  <c r="D238" i="2"/>
  <c r="D239" i="2"/>
  <c r="D240" i="2"/>
  <c r="E240" i="2" s="1"/>
  <c r="D241" i="2"/>
  <c r="D242" i="2"/>
  <c r="D243" i="2"/>
  <c r="D244" i="2"/>
  <c r="D245" i="2"/>
  <c r="D246" i="2"/>
  <c r="D247" i="2"/>
  <c r="D248" i="2"/>
  <c r="E248" i="2" s="1"/>
  <c r="D249" i="2"/>
  <c r="D250" i="2"/>
  <c r="D251" i="2"/>
  <c r="D252" i="2"/>
  <c r="D253" i="2"/>
  <c r="D254" i="2"/>
  <c r="E254" i="2" s="1"/>
  <c r="D255" i="2"/>
  <c r="D256" i="2"/>
  <c r="E256" i="2" s="1"/>
  <c r="D257" i="2"/>
  <c r="D258" i="2"/>
  <c r="D259" i="2"/>
  <c r="D260" i="2"/>
  <c r="D261" i="2"/>
  <c r="D262" i="2"/>
  <c r="E262" i="2" s="1"/>
  <c r="D263" i="2"/>
  <c r="D264" i="2"/>
  <c r="E264" i="2" s="1"/>
  <c r="D265" i="2"/>
  <c r="D266" i="2"/>
  <c r="D267" i="2"/>
  <c r="D268" i="2"/>
  <c r="D269" i="2"/>
  <c r="D270" i="2"/>
  <c r="E270" i="2" s="1"/>
  <c r="D271" i="2"/>
  <c r="D272" i="2"/>
  <c r="E272" i="2" s="1"/>
  <c r="D273" i="2"/>
  <c r="D274" i="2"/>
  <c r="D275" i="2"/>
  <c r="D276" i="2"/>
  <c r="D277" i="2"/>
  <c r="D278" i="2"/>
  <c r="E278" i="2" s="1"/>
  <c r="D279" i="2"/>
  <c r="D280" i="2"/>
  <c r="E280" i="2" s="1"/>
  <c r="D281" i="2"/>
  <c r="D282" i="2"/>
  <c r="D283" i="2"/>
  <c r="D284" i="2"/>
  <c r="D285" i="2"/>
  <c r="D286" i="2"/>
  <c r="E286" i="2" s="1"/>
  <c r="D287" i="2"/>
  <c r="D288" i="2"/>
  <c r="E288" i="2" s="1"/>
  <c r="D289" i="2"/>
  <c r="D290" i="2"/>
  <c r="D291" i="2"/>
  <c r="D292" i="2"/>
  <c r="D293" i="2"/>
  <c r="D294" i="2"/>
  <c r="E294" i="2" s="1"/>
  <c r="D295" i="2"/>
  <c r="D296" i="2"/>
  <c r="E296" i="2" s="1"/>
  <c r="D297" i="2"/>
  <c r="D298" i="2"/>
  <c r="D299" i="2"/>
  <c r="D300" i="2"/>
  <c r="D301" i="2"/>
  <c r="D302" i="2"/>
  <c r="E302" i="2" s="1"/>
  <c r="D303" i="2"/>
  <c r="D304" i="2"/>
  <c r="E304" i="2" s="1"/>
  <c r="D305" i="2"/>
  <c r="D306" i="2"/>
  <c r="D307" i="2"/>
  <c r="D308" i="2"/>
  <c r="D309" i="2"/>
  <c r="D310" i="2"/>
  <c r="E310" i="2" s="1"/>
  <c r="D311" i="2"/>
  <c r="D312" i="2"/>
  <c r="E312" i="2" s="1"/>
  <c r="D313" i="2"/>
  <c r="D314" i="2"/>
  <c r="D315" i="2"/>
  <c r="D316" i="2"/>
  <c r="D317" i="2"/>
  <c r="D318" i="2"/>
  <c r="E318" i="2" s="1"/>
  <c r="D319" i="2"/>
  <c r="D320" i="2"/>
  <c r="E320" i="2" s="1"/>
  <c r="D321" i="2"/>
  <c r="D322" i="2"/>
  <c r="D323" i="2"/>
  <c r="D324" i="2"/>
  <c r="D325" i="2"/>
  <c r="D326" i="2"/>
  <c r="E326" i="2" s="1"/>
  <c r="D327" i="2"/>
  <c r="D328" i="2"/>
  <c r="E328" i="2" s="1"/>
  <c r="D329" i="2"/>
  <c r="D330" i="2"/>
  <c r="D331" i="2"/>
  <c r="D332" i="2"/>
  <c r="D333" i="2"/>
  <c r="D334" i="2"/>
  <c r="E334" i="2" s="1"/>
  <c r="D335" i="2"/>
  <c r="D336" i="2"/>
  <c r="E336" i="2" s="1"/>
  <c r="D337" i="2"/>
  <c r="D338" i="2"/>
  <c r="D339" i="2"/>
  <c r="D340" i="2"/>
  <c r="D341" i="2"/>
  <c r="D342" i="2"/>
  <c r="E342" i="2" s="1"/>
  <c r="D343" i="2"/>
  <c r="D344" i="2"/>
  <c r="E344" i="2" s="1"/>
  <c r="D345" i="2"/>
  <c r="D346" i="2"/>
  <c r="D347" i="2"/>
  <c r="D348" i="2"/>
  <c r="D349" i="2"/>
  <c r="D350" i="2"/>
  <c r="E350" i="2" s="1"/>
  <c r="D351" i="2"/>
  <c r="D352" i="2"/>
  <c r="E352" i="2" s="1"/>
  <c r="D353" i="2"/>
  <c r="D354" i="2"/>
  <c r="D355" i="2"/>
  <c r="D356" i="2"/>
  <c r="D357" i="2"/>
  <c r="D358" i="2"/>
  <c r="E358" i="2" s="1"/>
  <c r="D8" i="2"/>
  <c r="E9" i="2"/>
  <c r="E10" i="2"/>
  <c r="E11" i="2"/>
  <c r="E12" i="2"/>
  <c r="E13" i="2"/>
  <c r="E14" i="2"/>
  <c r="E17" i="2"/>
  <c r="E18" i="2"/>
  <c r="E19" i="2"/>
  <c r="E20" i="2"/>
  <c r="E21" i="2"/>
  <c r="E22" i="2"/>
  <c r="E25" i="2"/>
  <c r="E26" i="2"/>
  <c r="E27" i="2"/>
  <c r="E28" i="2"/>
  <c r="E29" i="2"/>
  <c r="E30" i="2"/>
  <c r="E33" i="2"/>
  <c r="E34" i="2"/>
  <c r="E35" i="2"/>
  <c r="E36" i="2"/>
  <c r="E37" i="2"/>
  <c r="E38" i="2"/>
  <c r="E41" i="2"/>
  <c r="E42" i="2"/>
  <c r="E43" i="2"/>
  <c r="E44" i="2"/>
  <c r="E45" i="2"/>
  <c r="E46" i="2"/>
  <c r="E49" i="2"/>
  <c r="E50" i="2"/>
  <c r="E51" i="2"/>
  <c r="E52" i="2"/>
  <c r="E53" i="2"/>
  <c r="E54" i="2"/>
  <c r="E57" i="2"/>
  <c r="E58" i="2"/>
  <c r="E59" i="2"/>
  <c r="E60" i="2"/>
  <c r="E61" i="2"/>
  <c r="E62" i="2"/>
  <c r="E65" i="2"/>
  <c r="E66" i="2"/>
  <c r="E67" i="2"/>
  <c r="E68" i="2"/>
  <c r="E69" i="2"/>
  <c r="E70" i="2"/>
  <c r="E73" i="2"/>
  <c r="E74" i="2"/>
  <c r="E75" i="2"/>
  <c r="E76" i="2"/>
  <c r="E77" i="2"/>
  <c r="E78" i="2"/>
  <c r="E81" i="2"/>
  <c r="E82" i="2"/>
  <c r="E83" i="2"/>
  <c r="E84" i="2"/>
  <c r="E85" i="2"/>
  <c r="E86" i="2"/>
  <c r="E89" i="2"/>
  <c r="E90" i="2"/>
  <c r="E91" i="2"/>
  <c r="E92" i="2"/>
  <c r="E93" i="2"/>
  <c r="E94" i="2"/>
  <c r="E97" i="2"/>
  <c r="E98" i="2"/>
  <c r="E99" i="2"/>
  <c r="E100" i="2"/>
  <c r="E101" i="2"/>
  <c r="E102" i="2"/>
  <c r="E105" i="2"/>
  <c r="E106" i="2"/>
  <c r="E107" i="2"/>
  <c r="E108" i="2"/>
  <c r="E109" i="2"/>
  <c r="E110" i="2"/>
  <c r="E113" i="2"/>
  <c r="E114" i="2"/>
  <c r="E115" i="2"/>
  <c r="E116" i="2"/>
  <c r="E117" i="2"/>
  <c r="E118" i="2"/>
  <c r="E121" i="2"/>
  <c r="E122" i="2"/>
  <c r="E123" i="2"/>
  <c r="E124" i="2"/>
  <c r="E125" i="2"/>
  <c r="E126" i="2"/>
  <c r="E129" i="2"/>
  <c r="E130" i="2"/>
  <c r="E131" i="2"/>
  <c r="E132" i="2"/>
  <c r="E133" i="2"/>
  <c r="E134" i="2"/>
  <c r="E137" i="2"/>
  <c r="E138" i="2"/>
  <c r="E139" i="2"/>
  <c r="E140" i="2"/>
  <c r="E141" i="2"/>
  <c r="E142" i="2"/>
  <c r="E145" i="2"/>
  <c r="E146" i="2"/>
  <c r="E147" i="2"/>
  <c r="E148" i="2"/>
  <c r="E149" i="2"/>
  <c r="E150" i="2"/>
  <c r="E153" i="2"/>
  <c r="E154" i="2"/>
  <c r="E155" i="2"/>
  <c r="E156" i="2"/>
  <c r="E157" i="2"/>
  <c r="E158" i="2"/>
  <c r="E161" i="2"/>
  <c r="E162" i="2"/>
  <c r="E163" i="2"/>
  <c r="E164" i="2"/>
  <c r="E165" i="2"/>
  <c r="E166" i="2"/>
  <c r="E169" i="2"/>
  <c r="E170" i="2"/>
  <c r="E171" i="2"/>
  <c r="E172" i="2"/>
  <c r="E173" i="2"/>
  <c r="E174" i="2"/>
  <c r="E177" i="2"/>
  <c r="E178" i="2"/>
  <c r="E179" i="2"/>
  <c r="E180" i="2"/>
  <c r="E181" i="2"/>
  <c r="E182" i="2"/>
  <c r="E185" i="2"/>
  <c r="E186" i="2"/>
  <c r="E187" i="2"/>
  <c r="E188" i="2"/>
  <c r="E189" i="2"/>
  <c r="E190" i="2"/>
  <c r="E193" i="2"/>
  <c r="E194" i="2"/>
  <c r="E195" i="2"/>
  <c r="E196" i="2"/>
  <c r="E197" i="2"/>
  <c r="E198" i="2"/>
  <c r="E201" i="2"/>
  <c r="E202" i="2"/>
  <c r="E203" i="2"/>
  <c r="E204" i="2"/>
  <c r="E205" i="2"/>
  <c r="E206" i="2"/>
  <c r="E209" i="2"/>
  <c r="E210" i="2"/>
  <c r="E211" i="2"/>
  <c r="E212" i="2"/>
  <c r="E213" i="2"/>
  <c r="E214" i="2"/>
  <c r="E217" i="2"/>
  <c r="E218" i="2"/>
  <c r="E219" i="2"/>
  <c r="E220" i="2"/>
  <c r="E221" i="2"/>
  <c r="E222" i="2"/>
  <c r="E225" i="2"/>
  <c r="E226" i="2"/>
  <c r="E227" i="2"/>
  <c r="E228" i="2"/>
  <c r="E229" i="2"/>
  <c r="E230" i="2"/>
  <c r="E233" i="2"/>
  <c r="E234" i="2"/>
  <c r="E235" i="2"/>
  <c r="E236" i="2"/>
  <c r="E237" i="2"/>
  <c r="E238" i="2"/>
  <c r="E241" i="2"/>
  <c r="E242" i="2"/>
  <c r="E243" i="2"/>
  <c r="E244" i="2"/>
  <c r="E245" i="2"/>
  <c r="E246" i="2"/>
  <c r="E249" i="2"/>
  <c r="E250" i="2"/>
  <c r="E251" i="2"/>
  <c r="E252" i="2"/>
  <c r="E253" i="2"/>
  <c r="E257" i="2"/>
  <c r="E258" i="2"/>
  <c r="E259" i="2"/>
  <c r="E260" i="2"/>
  <c r="E261" i="2"/>
  <c r="E265" i="2"/>
  <c r="E266" i="2"/>
  <c r="E267" i="2"/>
  <c r="E268" i="2"/>
  <c r="E269" i="2"/>
  <c r="E273" i="2"/>
  <c r="E274" i="2"/>
  <c r="E275" i="2"/>
  <c r="E276" i="2"/>
  <c r="E277" i="2"/>
  <c r="E281" i="2"/>
  <c r="E282" i="2"/>
  <c r="E283" i="2"/>
  <c r="E284" i="2"/>
  <c r="E285" i="2"/>
  <c r="E289" i="2"/>
  <c r="E290" i="2"/>
  <c r="E291" i="2"/>
  <c r="E292" i="2"/>
  <c r="E293" i="2"/>
  <c r="E297" i="2"/>
  <c r="E298" i="2"/>
  <c r="E299" i="2"/>
  <c r="E300" i="2"/>
  <c r="E301" i="2"/>
  <c r="E305" i="2"/>
  <c r="E306" i="2"/>
  <c r="E307" i="2"/>
  <c r="E308" i="2"/>
  <c r="E309" i="2"/>
  <c r="E313" i="2"/>
  <c r="E314" i="2"/>
  <c r="E315" i="2"/>
  <c r="E316" i="2"/>
  <c r="E317" i="2"/>
  <c r="E321" i="2"/>
  <c r="E322" i="2"/>
  <c r="E323" i="2"/>
  <c r="E324" i="2"/>
  <c r="E325" i="2"/>
  <c r="E329" i="2"/>
  <c r="E330" i="2"/>
  <c r="E331" i="2"/>
  <c r="E332" i="2"/>
  <c r="E333" i="2"/>
  <c r="E337" i="2"/>
  <c r="E338" i="2"/>
  <c r="E339" i="2"/>
  <c r="E340" i="2"/>
  <c r="E341" i="2"/>
  <c r="E345" i="2"/>
  <c r="E346" i="2"/>
  <c r="E347" i="2"/>
  <c r="E348" i="2"/>
  <c r="E349" i="2"/>
  <c r="E353" i="2"/>
  <c r="E354" i="2"/>
  <c r="E355" i="2"/>
  <c r="E356" i="2"/>
  <c r="E357" i="2"/>
  <c r="E8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H24" i="1"/>
  <c r="T19" i="1"/>
  <c r="H22" i="1"/>
  <c r="H19" i="1"/>
  <c r="B19" i="1"/>
  <c r="W15" i="1"/>
  <c r="E19" i="1"/>
  <c r="Q15" i="1"/>
  <c r="E16" i="1"/>
  <c r="W16" i="1"/>
  <c r="E17" i="1"/>
  <c r="K17" i="1"/>
  <c r="W19" i="1"/>
  <c r="K19" i="1"/>
  <c r="E18" i="1"/>
  <c r="K16" i="1"/>
  <c r="Q16" i="1"/>
  <c r="K15" i="1"/>
  <c r="W17" i="1"/>
  <c r="K18" i="1"/>
  <c r="E15" i="1"/>
  <c r="W20" i="1"/>
  <c r="W18" i="1"/>
  <c r="E351" i="2" l="1"/>
  <c r="E343" i="2"/>
  <c r="E335" i="2"/>
  <c r="E327" i="2"/>
  <c r="E319" i="2"/>
  <c r="E311" i="2"/>
  <c r="E303" i="2"/>
  <c r="E295" i="2"/>
  <c r="E287" i="2"/>
  <c r="E279" i="2"/>
  <c r="E271" i="2"/>
  <c r="E263" i="2"/>
  <c r="E255" i="2"/>
  <c r="E247" i="2"/>
  <c r="E239" i="2"/>
  <c r="E231" i="2"/>
  <c r="E223" i="2"/>
  <c r="E215" i="2"/>
  <c r="E207" i="2"/>
  <c r="E199" i="2"/>
  <c r="E191" i="2"/>
  <c r="E183" i="2"/>
  <c r="E175" i="2"/>
  <c r="E167" i="2"/>
  <c r="E159" i="2"/>
  <c r="E151" i="2"/>
  <c r="E143" i="2"/>
  <c r="E135" i="2"/>
  <c r="E127" i="2"/>
  <c r="E119" i="2"/>
  <c r="E111" i="2"/>
  <c r="E103" i="2"/>
  <c r="E95" i="2"/>
  <c r="E87" i="2"/>
  <c r="E79" i="2"/>
  <c r="E71" i="2"/>
  <c r="E63" i="2"/>
  <c r="E55" i="2"/>
  <c r="E47" i="2"/>
  <c r="E39" i="2"/>
  <c r="E31" i="2"/>
  <c r="E23" i="2"/>
  <c r="E15" i="2"/>
  <c r="B12" i="1"/>
  <c r="F12" i="1"/>
  <c r="H6" i="1"/>
  <c r="F6" i="1"/>
  <c r="G6" i="1"/>
  <c r="I12" i="1"/>
  <c r="I6" i="1"/>
</calcChain>
</file>

<file path=xl/sharedStrings.xml><?xml version="1.0" encoding="utf-8"?>
<sst xmlns="http://schemas.openxmlformats.org/spreadsheetml/2006/main" count="91" uniqueCount="69">
  <si>
    <t>SIGN  -  Monte Carlo</t>
  </si>
  <si>
    <t>Share price (S)</t>
  </si>
  <si>
    <t>Exercise price (X)</t>
  </si>
  <si>
    <t>Int rate-cont ( r )</t>
  </si>
  <si>
    <t>Dividend yield (q)</t>
  </si>
  <si>
    <t>Time now (0, years)</t>
  </si>
  <si>
    <t>Time maturity (T, years)</t>
  </si>
  <si>
    <t>Option life (T, years)</t>
  </si>
  <si>
    <t>Volatility (σ)</t>
  </si>
  <si>
    <t>Sb=</t>
    <phoneticPr fontId="1" type="noConversion"/>
  </si>
  <si>
    <t>BS</t>
    <phoneticPr fontId="1" type="noConversion"/>
  </si>
  <si>
    <t>Barrier</t>
    <phoneticPr fontId="1" type="noConversion"/>
  </si>
  <si>
    <t>Barrier</t>
    <phoneticPr fontId="1" type="noConversion"/>
  </si>
  <si>
    <t>Volatility</t>
    <phoneticPr fontId="1" type="noConversion"/>
  </si>
  <si>
    <t>BS</t>
    <phoneticPr fontId="1" type="noConversion"/>
  </si>
  <si>
    <t>Barrier</t>
    <phoneticPr fontId="1" type="noConversion"/>
  </si>
  <si>
    <t>S0</t>
    <phoneticPr fontId="3" type="noConversion"/>
  </si>
  <si>
    <t>r</t>
    <phoneticPr fontId="3" type="noConversion"/>
  </si>
  <si>
    <t>d</t>
    <phoneticPr fontId="3" type="noConversion"/>
  </si>
  <si>
    <t>•Sb3</t>
    <phoneticPr fontId="3" type="noConversion"/>
  </si>
  <si>
    <t>S0</t>
    <phoneticPr fontId="3" type="noConversion"/>
  </si>
  <si>
    <t>X</t>
    <phoneticPr fontId="3" type="noConversion"/>
  </si>
  <si>
    <t>T</t>
    <phoneticPr fontId="3" type="noConversion"/>
  </si>
  <si>
    <t>sigma</t>
    <phoneticPr fontId="3" type="noConversion"/>
  </si>
  <si>
    <t>•Sb1</t>
    <phoneticPr fontId="3" type="noConversion"/>
  </si>
  <si>
    <t>•Sb2</t>
    <phoneticPr fontId="3" type="noConversion"/>
  </si>
  <si>
    <t>sigma</t>
    <phoneticPr fontId="3" type="noConversion"/>
  </si>
  <si>
    <t>•Sb1</t>
    <phoneticPr fontId="3" type="noConversion"/>
  </si>
  <si>
    <t>•Sb3</t>
    <phoneticPr fontId="3" type="noConversion"/>
  </si>
  <si>
    <t>•Sb4</t>
    <phoneticPr fontId="3" type="noConversion"/>
  </si>
  <si>
    <t>put</t>
    <phoneticPr fontId="3" type="noConversion"/>
  </si>
  <si>
    <t>Doput1</t>
    <phoneticPr fontId="3" type="noConversion"/>
  </si>
  <si>
    <t>Doput2</t>
    <phoneticPr fontId="3" type="noConversion"/>
  </si>
  <si>
    <t>Doput4</t>
    <phoneticPr fontId="3" type="noConversion"/>
  </si>
  <si>
    <t>•Put</t>
  </si>
  <si>
    <t>r</t>
    <phoneticPr fontId="3" type="noConversion"/>
  </si>
  <si>
    <t>•DOPut40*</t>
    <phoneticPr fontId="3" type="noConversion"/>
  </si>
  <si>
    <t>•DOPut30</t>
  </si>
  <si>
    <t>•DOPut30*</t>
    <phoneticPr fontId="3" type="noConversion"/>
  </si>
  <si>
    <t>S0</t>
    <phoneticPr fontId="3" type="noConversion"/>
  </si>
  <si>
    <t>Put2</t>
    <phoneticPr fontId="3" type="noConversion"/>
  </si>
  <si>
    <t>X</t>
    <phoneticPr fontId="3" type="noConversion"/>
  </si>
  <si>
    <t>Put4</t>
    <phoneticPr fontId="3" type="noConversion"/>
  </si>
  <si>
    <t>r</t>
    <phoneticPr fontId="3" type="noConversion"/>
  </si>
  <si>
    <t>d</t>
    <phoneticPr fontId="3" type="noConversion"/>
  </si>
  <si>
    <t>T</t>
    <phoneticPr fontId="3" type="noConversion"/>
  </si>
  <si>
    <t>•Sb2</t>
    <phoneticPr fontId="3" type="noConversion"/>
  </si>
  <si>
    <t>•Put4</t>
  </si>
  <si>
    <t>•Put3</t>
  </si>
  <si>
    <t>r</t>
    <phoneticPr fontId="3" type="noConversion"/>
  </si>
  <si>
    <t>•DOPut440</t>
  </si>
  <si>
    <t>•DOPut340</t>
  </si>
  <si>
    <t>•DOPut430</t>
  </si>
  <si>
    <t>•DOPut330</t>
  </si>
  <si>
    <t>sigma</t>
    <phoneticPr fontId="3" type="noConversion"/>
  </si>
  <si>
    <t>•Sb1</t>
    <phoneticPr fontId="3" type="noConversion"/>
  </si>
  <si>
    <t>Doput3</t>
    <phoneticPr fontId="3" type="noConversion"/>
  </si>
  <si>
    <t>•DOPut40</t>
    <phoneticPr fontId="1" type="noConversion"/>
  </si>
  <si>
    <t>St</t>
    <phoneticPr fontId="1" type="noConversion"/>
  </si>
  <si>
    <t>X1</t>
    <phoneticPr fontId="3" type="noConversion"/>
  </si>
  <si>
    <t>put</t>
    <phoneticPr fontId="1" type="noConversion"/>
  </si>
  <si>
    <t>X2</t>
    <phoneticPr fontId="3" type="noConversion"/>
  </si>
  <si>
    <t>2calls</t>
    <phoneticPr fontId="1" type="noConversion"/>
  </si>
  <si>
    <t>2callornothing</t>
    <phoneticPr fontId="1" type="noConversion"/>
  </si>
  <si>
    <t>total</t>
    <phoneticPr fontId="1" type="noConversion"/>
  </si>
  <si>
    <t>d</t>
    <phoneticPr fontId="3" type="noConversion"/>
  </si>
  <si>
    <t>T</t>
    <phoneticPr fontId="3" type="noConversion"/>
  </si>
  <si>
    <t>sigma</t>
    <phoneticPr fontId="3" type="noConversion"/>
  </si>
  <si>
    <t>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</si>
</sst>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2"/>
      <color rgb="FF3F3F3F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3" borderId="1" applyNumberFormat="0" applyAlignment="0" applyProtection="0">
      <alignment vertical="center"/>
    </xf>
  </cellStyleXfs>
  <cellXfs count="9">
    <xf numFmtId="0" fontId="0" fillId="0" borderId="0" xfId="0">
      <alignment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/>
    <xf numFmtId="9" fontId="0" fillId="0" borderId="0" xfId="1" applyFont="1" applyAlignment="1"/>
    <xf numFmtId="0" fontId="0" fillId="2" borderId="0" xfId="0" applyFill="1">
      <alignment vertical="center"/>
    </xf>
    <xf numFmtId="2" fontId="0" fillId="0" borderId="0" xfId="0" applyNumberFormat="1" applyAlignment="1"/>
    <xf numFmtId="0" fontId="0" fillId="2" borderId="0" xfId="0" applyFill="1" applyAlignment="1">
      <alignment horizontal="center" vertical="center"/>
    </xf>
    <xf numFmtId="0" fontId="4" fillId="3" borderId="1" xfId="2" applyAlignment="1"/>
  </cellXfs>
  <cellStyles count="3">
    <cellStyle name="一般" xfId="0" builtinId="0"/>
    <cellStyle name="百分比" xfId="1" builtinId="5"/>
    <cellStyle name="輸出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TRF!$E$7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TRF!$A$8:$A$358</c:f>
              <c:numCache>
                <c:formatCode>General</c:formatCode>
                <c:ptCount val="351"/>
                <c:pt idx="0">
                  <c:v>6</c:v>
                </c:pt>
                <c:pt idx="1">
                  <c:v>6.0010000000000003</c:v>
                </c:pt>
                <c:pt idx="2">
                  <c:v>6.0019999999999998</c:v>
                </c:pt>
                <c:pt idx="3">
                  <c:v>6.0030000000000001</c:v>
                </c:pt>
                <c:pt idx="4">
                  <c:v>6.0039999999999996</c:v>
                </c:pt>
                <c:pt idx="5">
                  <c:v>6.0049999999999999</c:v>
                </c:pt>
                <c:pt idx="6">
                  <c:v>6.0060000000000002</c:v>
                </c:pt>
                <c:pt idx="7">
                  <c:v>6.0069999999999997</c:v>
                </c:pt>
                <c:pt idx="8">
                  <c:v>6.008</c:v>
                </c:pt>
                <c:pt idx="9">
                  <c:v>6.0090000000000003</c:v>
                </c:pt>
                <c:pt idx="10">
                  <c:v>6.01</c:v>
                </c:pt>
                <c:pt idx="11">
                  <c:v>6.0110000000000001</c:v>
                </c:pt>
                <c:pt idx="12">
                  <c:v>6.0119999999999996</c:v>
                </c:pt>
                <c:pt idx="13">
                  <c:v>6.0129999999999999</c:v>
                </c:pt>
                <c:pt idx="14">
                  <c:v>6.0140000000000002</c:v>
                </c:pt>
                <c:pt idx="15">
                  <c:v>6.0150000000000103</c:v>
                </c:pt>
                <c:pt idx="16">
                  <c:v>6.0160000000000098</c:v>
                </c:pt>
                <c:pt idx="17">
                  <c:v>6.0170000000000101</c:v>
                </c:pt>
                <c:pt idx="18">
                  <c:v>6.0180000000000096</c:v>
                </c:pt>
                <c:pt idx="19">
                  <c:v>6.0190000000000099</c:v>
                </c:pt>
                <c:pt idx="20">
                  <c:v>6.0200000000000102</c:v>
                </c:pt>
                <c:pt idx="21">
                  <c:v>6.0210000000000097</c:v>
                </c:pt>
                <c:pt idx="22">
                  <c:v>6.02200000000001</c:v>
                </c:pt>
                <c:pt idx="23">
                  <c:v>6.0230000000000103</c:v>
                </c:pt>
                <c:pt idx="24">
                  <c:v>6.0240000000000098</c:v>
                </c:pt>
                <c:pt idx="25">
                  <c:v>6.0250000000000101</c:v>
                </c:pt>
                <c:pt idx="26">
                  <c:v>6.0260000000000096</c:v>
                </c:pt>
                <c:pt idx="27">
                  <c:v>6.0270000000000099</c:v>
                </c:pt>
                <c:pt idx="28">
                  <c:v>6.0280000000000102</c:v>
                </c:pt>
                <c:pt idx="29">
                  <c:v>6.0290000000000097</c:v>
                </c:pt>
                <c:pt idx="30">
                  <c:v>6.03000000000001</c:v>
                </c:pt>
                <c:pt idx="31">
                  <c:v>6.0310000000000104</c:v>
                </c:pt>
                <c:pt idx="32">
                  <c:v>6.0320000000000098</c:v>
                </c:pt>
                <c:pt idx="33">
                  <c:v>6.0330000000000101</c:v>
                </c:pt>
                <c:pt idx="34">
                  <c:v>6.0340000000000096</c:v>
                </c:pt>
                <c:pt idx="35">
                  <c:v>6.0350000000000099</c:v>
                </c:pt>
                <c:pt idx="36">
                  <c:v>6.0360000000000102</c:v>
                </c:pt>
                <c:pt idx="37">
                  <c:v>6.0370000000000097</c:v>
                </c:pt>
                <c:pt idx="38">
                  <c:v>6.03800000000001</c:v>
                </c:pt>
                <c:pt idx="39">
                  <c:v>6.0390000000000104</c:v>
                </c:pt>
                <c:pt idx="40">
                  <c:v>6.0400000000000098</c:v>
                </c:pt>
                <c:pt idx="41">
                  <c:v>6.0410000000000101</c:v>
                </c:pt>
                <c:pt idx="42">
                  <c:v>6.0420000000000096</c:v>
                </c:pt>
                <c:pt idx="43">
                  <c:v>6.0430000000000099</c:v>
                </c:pt>
                <c:pt idx="44">
                  <c:v>6.0440000000000103</c:v>
                </c:pt>
                <c:pt idx="45">
                  <c:v>6.0450000000000204</c:v>
                </c:pt>
                <c:pt idx="46">
                  <c:v>6.0460000000000198</c:v>
                </c:pt>
                <c:pt idx="47">
                  <c:v>6.0470000000000201</c:v>
                </c:pt>
                <c:pt idx="48">
                  <c:v>6.0480000000000196</c:v>
                </c:pt>
                <c:pt idx="49">
                  <c:v>6.0490000000000199</c:v>
                </c:pt>
                <c:pt idx="50">
                  <c:v>6.0500000000000203</c:v>
                </c:pt>
                <c:pt idx="51">
                  <c:v>6.0510000000000197</c:v>
                </c:pt>
                <c:pt idx="52">
                  <c:v>6.05200000000002</c:v>
                </c:pt>
                <c:pt idx="53">
                  <c:v>6.0530000000000204</c:v>
                </c:pt>
                <c:pt idx="54">
                  <c:v>6.0540000000000198</c:v>
                </c:pt>
                <c:pt idx="55">
                  <c:v>6.0550000000000201</c:v>
                </c:pt>
                <c:pt idx="56">
                  <c:v>6.0560000000000196</c:v>
                </c:pt>
                <c:pt idx="57">
                  <c:v>6.0570000000000199</c:v>
                </c:pt>
                <c:pt idx="58">
                  <c:v>6.0580000000000203</c:v>
                </c:pt>
                <c:pt idx="59">
                  <c:v>6.0590000000000197</c:v>
                </c:pt>
                <c:pt idx="60">
                  <c:v>6.06000000000002</c:v>
                </c:pt>
                <c:pt idx="61">
                  <c:v>6.0610000000000204</c:v>
                </c:pt>
                <c:pt idx="62">
                  <c:v>6.0620000000000198</c:v>
                </c:pt>
                <c:pt idx="63">
                  <c:v>6.0630000000000202</c:v>
                </c:pt>
                <c:pt idx="64">
                  <c:v>6.0640000000000196</c:v>
                </c:pt>
                <c:pt idx="65">
                  <c:v>6.0650000000000199</c:v>
                </c:pt>
                <c:pt idx="66">
                  <c:v>6.0660000000000203</c:v>
                </c:pt>
                <c:pt idx="67">
                  <c:v>6.0670000000000197</c:v>
                </c:pt>
                <c:pt idx="68">
                  <c:v>6.06800000000002</c:v>
                </c:pt>
                <c:pt idx="69">
                  <c:v>6.0690000000000204</c:v>
                </c:pt>
                <c:pt idx="70">
                  <c:v>6.0700000000000198</c:v>
                </c:pt>
                <c:pt idx="71">
                  <c:v>6.0710000000000202</c:v>
                </c:pt>
                <c:pt idx="72">
                  <c:v>6.0720000000000196</c:v>
                </c:pt>
                <c:pt idx="73">
                  <c:v>6.0730000000000199</c:v>
                </c:pt>
                <c:pt idx="74">
                  <c:v>6.0740000000000203</c:v>
                </c:pt>
                <c:pt idx="75">
                  <c:v>6.0750000000000304</c:v>
                </c:pt>
                <c:pt idx="76">
                  <c:v>6.0760000000000298</c:v>
                </c:pt>
                <c:pt idx="77">
                  <c:v>6.0770000000000302</c:v>
                </c:pt>
                <c:pt idx="78">
                  <c:v>6.0780000000000296</c:v>
                </c:pt>
                <c:pt idx="79">
                  <c:v>6.0790000000000299</c:v>
                </c:pt>
                <c:pt idx="80">
                  <c:v>6.0800000000000303</c:v>
                </c:pt>
                <c:pt idx="81">
                  <c:v>6.0810000000000297</c:v>
                </c:pt>
                <c:pt idx="82">
                  <c:v>6.08200000000003</c:v>
                </c:pt>
                <c:pt idx="83">
                  <c:v>6.0830000000000304</c:v>
                </c:pt>
                <c:pt idx="84">
                  <c:v>6.0840000000000298</c:v>
                </c:pt>
                <c:pt idx="85">
                  <c:v>6.0850000000000302</c:v>
                </c:pt>
                <c:pt idx="86">
                  <c:v>6.0860000000000296</c:v>
                </c:pt>
                <c:pt idx="87">
                  <c:v>6.0870000000000299</c:v>
                </c:pt>
                <c:pt idx="88">
                  <c:v>6.0880000000000303</c:v>
                </c:pt>
                <c:pt idx="89">
                  <c:v>6.0890000000000297</c:v>
                </c:pt>
                <c:pt idx="90">
                  <c:v>6.0900000000000301</c:v>
                </c:pt>
                <c:pt idx="91">
                  <c:v>6.0910000000000304</c:v>
                </c:pt>
                <c:pt idx="92">
                  <c:v>6.0920000000000298</c:v>
                </c:pt>
                <c:pt idx="93">
                  <c:v>6.0930000000000302</c:v>
                </c:pt>
                <c:pt idx="94">
                  <c:v>6.0940000000000296</c:v>
                </c:pt>
                <c:pt idx="95">
                  <c:v>6.0950000000000299</c:v>
                </c:pt>
                <c:pt idx="96">
                  <c:v>6.0960000000000303</c:v>
                </c:pt>
                <c:pt idx="97">
                  <c:v>6.0970000000000297</c:v>
                </c:pt>
                <c:pt idx="98">
                  <c:v>6.0980000000000301</c:v>
                </c:pt>
                <c:pt idx="99">
                  <c:v>6.0990000000000304</c:v>
                </c:pt>
                <c:pt idx="100">
                  <c:v>6.1000000000000298</c:v>
                </c:pt>
                <c:pt idx="101">
                  <c:v>6.1010000000000302</c:v>
                </c:pt>
                <c:pt idx="102">
                  <c:v>6.1020000000000296</c:v>
                </c:pt>
                <c:pt idx="103">
                  <c:v>6.10300000000003</c:v>
                </c:pt>
                <c:pt idx="104">
                  <c:v>6.1040000000000303</c:v>
                </c:pt>
                <c:pt idx="105">
                  <c:v>6.1050000000000404</c:v>
                </c:pt>
                <c:pt idx="106">
                  <c:v>6.1060000000000398</c:v>
                </c:pt>
                <c:pt idx="107">
                  <c:v>6.1070000000000402</c:v>
                </c:pt>
                <c:pt idx="108">
                  <c:v>6.1080000000000396</c:v>
                </c:pt>
                <c:pt idx="109">
                  <c:v>6.10900000000004</c:v>
                </c:pt>
                <c:pt idx="110">
                  <c:v>6.1100000000000403</c:v>
                </c:pt>
                <c:pt idx="111">
                  <c:v>6.1110000000000397</c:v>
                </c:pt>
                <c:pt idx="112">
                  <c:v>6.1120000000000401</c:v>
                </c:pt>
                <c:pt idx="113">
                  <c:v>6.1130000000000404</c:v>
                </c:pt>
                <c:pt idx="114">
                  <c:v>6.1140000000000398</c:v>
                </c:pt>
                <c:pt idx="115">
                  <c:v>6.1150000000000402</c:v>
                </c:pt>
                <c:pt idx="116">
                  <c:v>6.1160000000000396</c:v>
                </c:pt>
                <c:pt idx="117">
                  <c:v>6.11700000000004</c:v>
                </c:pt>
                <c:pt idx="118">
                  <c:v>6.1180000000000403</c:v>
                </c:pt>
                <c:pt idx="119">
                  <c:v>6.1190000000000397</c:v>
                </c:pt>
                <c:pt idx="120">
                  <c:v>6.1200000000000401</c:v>
                </c:pt>
                <c:pt idx="121">
                  <c:v>6.1210000000000404</c:v>
                </c:pt>
                <c:pt idx="122">
                  <c:v>6.1220000000000399</c:v>
                </c:pt>
                <c:pt idx="123">
                  <c:v>6.1230000000000402</c:v>
                </c:pt>
                <c:pt idx="124">
                  <c:v>6.1240000000000396</c:v>
                </c:pt>
                <c:pt idx="125">
                  <c:v>6.12500000000004</c:v>
                </c:pt>
                <c:pt idx="126">
                  <c:v>6.1260000000000403</c:v>
                </c:pt>
                <c:pt idx="127">
                  <c:v>6.1270000000000397</c:v>
                </c:pt>
                <c:pt idx="128">
                  <c:v>6.1280000000000401</c:v>
                </c:pt>
                <c:pt idx="129">
                  <c:v>6.1290000000000404</c:v>
                </c:pt>
                <c:pt idx="130">
                  <c:v>6.1300000000000399</c:v>
                </c:pt>
                <c:pt idx="131">
                  <c:v>6.1310000000000402</c:v>
                </c:pt>
                <c:pt idx="132">
                  <c:v>6.1320000000000396</c:v>
                </c:pt>
                <c:pt idx="133">
                  <c:v>6.13300000000004</c:v>
                </c:pt>
                <c:pt idx="134">
                  <c:v>6.1340000000000403</c:v>
                </c:pt>
                <c:pt idx="135">
                  <c:v>6.1350000000000504</c:v>
                </c:pt>
                <c:pt idx="136">
                  <c:v>6.1360000000000499</c:v>
                </c:pt>
                <c:pt idx="137">
                  <c:v>6.1370000000000502</c:v>
                </c:pt>
                <c:pt idx="138">
                  <c:v>6.1380000000000496</c:v>
                </c:pt>
                <c:pt idx="139">
                  <c:v>6.13900000000005</c:v>
                </c:pt>
                <c:pt idx="140">
                  <c:v>6.1400000000000503</c:v>
                </c:pt>
                <c:pt idx="141">
                  <c:v>6.1410000000000498</c:v>
                </c:pt>
                <c:pt idx="142">
                  <c:v>6.1420000000000501</c:v>
                </c:pt>
                <c:pt idx="143">
                  <c:v>6.1430000000000504</c:v>
                </c:pt>
                <c:pt idx="144">
                  <c:v>6.1440000000000499</c:v>
                </c:pt>
                <c:pt idx="145">
                  <c:v>6.1450000000000502</c:v>
                </c:pt>
                <c:pt idx="146">
                  <c:v>6.1460000000000496</c:v>
                </c:pt>
                <c:pt idx="147">
                  <c:v>6.14700000000005</c:v>
                </c:pt>
                <c:pt idx="148">
                  <c:v>6.1480000000000503</c:v>
                </c:pt>
                <c:pt idx="149">
                  <c:v>6.1490000000000498</c:v>
                </c:pt>
                <c:pt idx="150">
                  <c:v>6.1500000000000501</c:v>
                </c:pt>
                <c:pt idx="151">
                  <c:v>6.1510000000000504</c:v>
                </c:pt>
                <c:pt idx="152">
                  <c:v>6.1520000000000499</c:v>
                </c:pt>
                <c:pt idx="153">
                  <c:v>6.1530000000000502</c:v>
                </c:pt>
                <c:pt idx="154">
                  <c:v>6.1540000000000497</c:v>
                </c:pt>
                <c:pt idx="155">
                  <c:v>6.15500000000005</c:v>
                </c:pt>
                <c:pt idx="156">
                  <c:v>6.1560000000000503</c:v>
                </c:pt>
                <c:pt idx="157">
                  <c:v>6.1570000000000498</c:v>
                </c:pt>
                <c:pt idx="158">
                  <c:v>6.1580000000000501</c:v>
                </c:pt>
                <c:pt idx="159">
                  <c:v>6.1590000000000504</c:v>
                </c:pt>
                <c:pt idx="160">
                  <c:v>6.1600000000000499</c:v>
                </c:pt>
                <c:pt idx="161">
                  <c:v>6.1610000000000502</c:v>
                </c:pt>
                <c:pt idx="162">
                  <c:v>6.1620000000000497</c:v>
                </c:pt>
                <c:pt idx="163">
                  <c:v>6.16300000000005</c:v>
                </c:pt>
                <c:pt idx="164">
                  <c:v>6.1640000000000503</c:v>
                </c:pt>
                <c:pt idx="165">
                  <c:v>6.1650000000000604</c:v>
                </c:pt>
                <c:pt idx="166">
                  <c:v>6.1660000000000599</c:v>
                </c:pt>
                <c:pt idx="167">
                  <c:v>6.1670000000000602</c:v>
                </c:pt>
                <c:pt idx="168">
                  <c:v>6.1680000000000597</c:v>
                </c:pt>
                <c:pt idx="169">
                  <c:v>6.16900000000006</c:v>
                </c:pt>
                <c:pt idx="170">
                  <c:v>6.1700000000000603</c:v>
                </c:pt>
                <c:pt idx="171">
                  <c:v>6.1710000000000598</c:v>
                </c:pt>
                <c:pt idx="172">
                  <c:v>6.1720000000000601</c:v>
                </c:pt>
                <c:pt idx="173">
                  <c:v>6.1730000000000604</c:v>
                </c:pt>
                <c:pt idx="174">
                  <c:v>6.1740000000000599</c:v>
                </c:pt>
                <c:pt idx="175">
                  <c:v>6.1750000000000602</c:v>
                </c:pt>
                <c:pt idx="176">
                  <c:v>6.1760000000000597</c:v>
                </c:pt>
                <c:pt idx="177">
                  <c:v>6.17700000000006</c:v>
                </c:pt>
                <c:pt idx="178">
                  <c:v>6.1780000000000603</c:v>
                </c:pt>
                <c:pt idx="179">
                  <c:v>6.1790000000000598</c:v>
                </c:pt>
                <c:pt idx="180">
                  <c:v>6.1800000000000601</c:v>
                </c:pt>
                <c:pt idx="181">
                  <c:v>6.1810000000000596</c:v>
                </c:pt>
                <c:pt idx="182">
                  <c:v>6.1820000000000599</c:v>
                </c:pt>
                <c:pt idx="183">
                  <c:v>6.1830000000000602</c:v>
                </c:pt>
                <c:pt idx="184">
                  <c:v>6.1840000000000597</c:v>
                </c:pt>
                <c:pt idx="185">
                  <c:v>6.18500000000006</c:v>
                </c:pt>
                <c:pt idx="186">
                  <c:v>6.1860000000000603</c:v>
                </c:pt>
                <c:pt idx="187">
                  <c:v>6.1870000000000598</c:v>
                </c:pt>
                <c:pt idx="188">
                  <c:v>6.1880000000000601</c:v>
                </c:pt>
                <c:pt idx="189">
                  <c:v>6.1890000000000596</c:v>
                </c:pt>
                <c:pt idx="190">
                  <c:v>6.1900000000000599</c:v>
                </c:pt>
                <c:pt idx="191">
                  <c:v>6.1910000000000602</c:v>
                </c:pt>
                <c:pt idx="192">
                  <c:v>6.1920000000000597</c:v>
                </c:pt>
                <c:pt idx="193">
                  <c:v>6.19300000000006</c:v>
                </c:pt>
                <c:pt idx="194">
                  <c:v>6.1940000000000603</c:v>
                </c:pt>
                <c:pt idx="195">
                  <c:v>6.1950000000000696</c:v>
                </c:pt>
                <c:pt idx="196">
                  <c:v>6.1960000000000699</c:v>
                </c:pt>
                <c:pt idx="197">
                  <c:v>6.1970000000000702</c:v>
                </c:pt>
                <c:pt idx="198">
                  <c:v>6.1980000000000697</c:v>
                </c:pt>
                <c:pt idx="199">
                  <c:v>6.19900000000007</c:v>
                </c:pt>
                <c:pt idx="200">
                  <c:v>6.2000000000000703</c:v>
                </c:pt>
                <c:pt idx="201">
                  <c:v>6.2010000000000698</c:v>
                </c:pt>
                <c:pt idx="202">
                  <c:v>6.2020000000000701</c:v>
                </c:pt>
                <c:pt idx="203">
                  <c:v>6.2030000000000696</c:v>
                </c:pt>
                <c:pt idx="204">
                  <c:v>6.2040000000000699</c:v>
                </c:pt>
                <c:pt idx="205">
                  <c:v>6.2050000000000702</c:v>
                </c:pt>
                <c:pt idx="206">
                  <c:v>6.2060000000000697</c:v>
                </c:pt>
                <c:pt idx="207">
                  <c:v>6.20700000000007</c:v>
                </c:pt>
                <c:pt idx="208">
                  <c:v>6.2080000000000704</c:v>
                </c:pt>
                <c:pt idx="209">
                  <c:v>6.2090000000000698</c:v>
                </c:pt>
                <c:pt idx="210">
                  <c:v>6.2100000000000701</c:v>
                </c:pt>
                <c:pt idx="211">
                  <c:v>6.2110000000000696</c:v>
                </c:pt>
                <c:pt idx="212">
                  <c:v>6.2120000000000699</c:v>
                </c:pt>
                <c:pt idx="213">
                  <c:v>6.2130000000000702</c:v>
                </c:pt>
                <c:pt idx="214">
                  <c:v>6.2140000000000697</c:v>
                </c:pt>
                <c:pt idx="215">
                  <c:v>6.21500000000007</c:v>
                </c:pt>
                <c:pt idx="216">
                  <c:v>6.2160000000000704</c:v>
                </c:pt>
                <c:pt idx="217">
                  <c:v>6.2170000000000698</c:v>
                </c:pt>
                <c:pt idx="218">
                  <c:v>6.2180000000000701</c:v>
                </c:pt>
                <c:pt idx="219">
                  <c:v>6.2190000000000696</c:v>
                </c:pt>
                <c:pt idx="220">
                  <c:v>6.2200000000000699</c:v>
                </c:pt>
                <c:pt idx="221">
                  <c:v>6.2210000000000703</c:v>
                </c:pt>
                <c:pt idx="222">
                  <c:v>6.2220000000000697</c:v>
                </c:pt>
                <c:pt idx="223">
                  <c:v>6.22300000000007</c:v>
                </c:pt>
                <c:pt idx="224">
                  <c:v>6.2240000000000704</c:v>
                </c:pt>
                <c:pt idx="225">
                  <c:v>6.2250000000000796</c:v>
                </c:pt>
                <c:pt idx="226">
                  <c:v>6.2260000000000701</c:v>
                </c:pt>
                <c:pt idx="227">
                  <c:v>6.2270000000000802</c:v>
                </c:pt>
                <c:pt idx="228">
                  <c:v>6.2280000000000797</c:v>
                </c:pt>
                <c:pt idx="229">
                  <c:v>6.22900000000008</c:v>
                </c:pt>
                <c:pt idx="230">
                  <c:v>6.2300000000000804</c:v>
                </c:pt>
                <c:pt idx="231">
                  <c:v>6.2310000000000798</c:v>
                </c:pt>
                <c:pt idx="232">
                  <c:v>6.2320000000000801</c:v>
                </c:pt>
                <c:pt idx="233">
                  <c:v>6.2330000000000796</c:v>
                </c:pt>
                <c:pt idx="234">
                  <c:v>6.2340000000000799</c:v>
                </c:pt>
                <c:pt idx="235">
                  <c:v>6.2350000000000803</c:v>
                </c:pt>
                <c:pt idx="236">
                  <c:v>6.2360000000000797</c:v>
                </c:pt>
                <c:pt idx="237">
                  <c:v>6.23700000000008</c:v>
                </c:pt>
                <c:pt idx="238">
                  <c:v>6.2380000000000804</c:v>
                </c:pt>
                <c:pt idx="239">
                  <c:v>6.2390000000000798</c:v>
                </c:pt>
                <c:pt idx="240">
                  <c:v>6.2400000000000801</c:v>
                </c:pt>
                <c:pt idx="241">
                  <c:v>6.2410000000000796</c:v>
                </c:pt>
                <c:pt idx="242">
                  <c:v>6.2420000000000799</c:v>
                </c:pt>
                <c:pt idx="243">
                  <c:v>6.2430000000000803</c:v>
                </c:pt>
                <c:pt idx="244">
                  <c:v>6.2440000000000797</c:v>
                </c:pt>
                <c:pt idx="245">
                  <c:v>6.24500000000008</c:v>
                </c:pt>
                <c:pt idx="246">
                  <c:v>6.2460000000000804</c:v>
                </c:pt>
                <c:pt idx="247">
                  <c:v>6.2470000000000798</c:v>
                </c:pt>
                <c:pt idx="248">
                  <c:v>6.2480000000000802</c:v>
                </c:pt>
                <c:pt idx="249">
                  <c:v>6.2490000000000796</c:v>
                </c:pt>
                <c:pt idx="250">
                  <c:v>6.2500000000000799</c:v>
                </c:pt>
                <c:pt idx="251">
                  <c:v>6.2510000000000803</c:v>
                </c:pt>
                <c:pt idx="252">
                  <c:v>6.2520000000000797</c:v>
                </c:pt>
                <c:pt idx="253">
                  <c:v>6.25300000000008</c:v>
                </c:pt>
                <c:pt idx="254">
                  <c:v>6.2540000000000804</c:v>
                </c:pt>
                <c:pt idx="255">
                  <c:v>6.2550000000000896</c:v>
                </c:pt>
                <c:pt idx="256">
                  <c:v>6.2560000000000802</c:v>
                </c:pt>
                <c:pt idx="257">
                  <c:v>6.2570000000000903</c:v>
                </c:pt>
                <c:pt idx="258">
                  <c:v>6.2580000000000897</c:v>
                </c:pt>
                <c:pt idx="259">
                  <c:v>6.25900000000009</c:v>
                </c:pt>
                <c:pt idx="260">
                  <c:v>6.2600000000000904</c:v>
                </c:pt>
                <c:pt idx="261">
                  <c:v>6.2610000000000898</c:v>
                </c:pt>
                <c:pt idx="262">
                  <c:v>6.2620000000000902</c:v>
                </c:pt>
                <c:pt idx="263">
                  <c:v>6.2630000000000896</c:v>
                </c:pt>
                <c:pt idx="264">
                  <c:v>6.2640000000000899</c:v>
                </c:pt>
                <c:pt idx="265">
                  <c:v>6.2650000000000903</c:v>
                </c:pt>
                <c:pt idx="266">
                  <c:v>6.2660000000000897</c:v>
                </c:pt>
                <c:pt idx="267">
                  <c:v>6.2670000000000901</c:v>
                </c:pt>
                <c:pt idx="268">
                  <c:v>6.2680000000000904</c:v>
                </c:pt>
                <c:pt idx="269">
                  <c:v>6.2690000000000898</c:v>
                </c:pt>
                <c:pt idx="270">
                  <c:v>6.2700000000000902</c:v>
                </c:pt>
                <c:pt idx="271">
                  <c:v>6.2710000000000896</c:v>
                </c:pt>
                <c:pt idx="272">
                  <c:v>6.2720000000000899</c:v>
                </c:pt>
                <c:pt idx="273">
                  <c:v>6.2730000000000903</c:v>
                </c:pt>
                <c:pt idx="274">
                  <c:v>6.2740000000000897</c:v>
                </c:pt>
                <c:pt idx="275">
                  <c:v>6.2750000000000901</c:v>
                </c:pt>
                <c:pt idx="276">
                  <c:v>6.2760000000000904</c:v>
                </c:pt>
                <c:pt idx="277">
                  <c:v>6.2770000000000898</c:v>
                </c:pt>
                <c:pt idx="278">
                  <c:v>6.2780000000000902</c:v>
                </c:pt>
                <c:pt idx="279">
                  <c:v>6.2790000000000896</c:v>
                </c:pt>
                <c:pt idx="280">
                  <c:v>6.28000000000009</c:v>
                </c:pt>
                <c:pt idx="281">
                  <c:v>6.2810000000000903</c:v>
                </c:pt>
                <c:pt idx="282">
                  <c:v>6.2820000000000897</c:v>
                </c:pt>
                <c:pt idx="283">
                  <c:v>6.2830000000000998</c:v>
                </c:pt>
                <c:pt idx="284">
                  <c:v>6.2840000000000904</c:v>
                </c:pt>
                <c:pt idx="285">
                  <c:v>6.2850000000000996</c:v>
                </c:pt>
                <c:pt idx="286">
                  <c:v>6.2860000000001</c:v>
                </c:pt>
                <c:pt idx="287">
                  <c:v>6.2870000000001003</c:v>
                </c:pt>
                <c:pt idx="288">
                  <c:v>6.2880000000000997</c:v>
                </c:pt>
                <c:pt idx="289">
                  <c:v>6.2890000000001001</c:v>
                </c:pt>
                <c:pt idx="290">
                  <c:v>6.2900000000001004</c:v>
                </c:pt>
                <c:pt idx="291">
                  <c:v>6.2910000000000998</c:v>
                </c:pt>
                <c:pt idx="292">
                  <c:v>6.2920000000001002</c:v>
                </c:pt>
                <c:pt idx="293">
                  <c:v>6.2930000000000996</c:v>
                </c:pt>
                <c:pt idx="294">
                  <c:v>6.2940000000001</c:v>
                </c:pt>
                <c:pt idx="295">
                  <c:v>6.2950000000001003</c:v>
                </c:pt>
                <c:pt idx="296">
                  <c:v>6.2960000000000997</c:v>
                </c:pt>
                <c:pt idx="297">
                  <c:v>6.2970000000001001</c:v>
                </c:pt>
                <c:pt idx="298">
                  <c:v>6.2980000000001004</c:v>
                </c:pt>
                <c:pt idx="299">
                  <c:v>6.2990000000000999</c:v>
                </c:pt>
                <c:pt idx="300">
                  <c:v>6.3000000000001002</c:v>
                </c:pt>
                <c:pt idx="301">
                  <c:v>6.3010000000000996</c:v>
                </c:pt>
                <c:pt idx="302">
                  <c:v>6.3020000000001</c:v>
                </c:pt>
                <c:pt idx="303">
                  <c:v>6.3030000000001003</c:v>
                </c:pt>
                <c:pt idx="304">
                  <c:v>6.3040000000000997</c:v>
                </c:pt>
                <c:pt idx="305">
                  <c:v>6.3050000000001001</c:v>
                </c:pt>
                <c:pt idx="306">
                  <c:v>6.3060000000001004</c:v>
                </c:pt>
                <c:pt idx="307">
                  <c:v>6.3070000000000999</c:v>
                </c:pt>
                <c:pt idx="308">
                  <c:v>6.3080000000001002</c:v>
                </c:pt>
                <c:pt idx="309">
                  <c:v>6.3090000000000996</c:v>
                </c:pt>
                <c:pt idx="310">
                  <c:v>6.3100000000001</c:v>
                </c:pt>
                <c:pt idx="311">
                  <c:v>6.3110000000001003</c:v>
                </c:pt>
                <c:pt idx="312">
                  <c:v>6.3120000000000998</c:v>
                </c:pt>
                <c:pt idx="313">
                  <c:v>6.3130000000001099</c:v>
                </c:pt>
                <c:pt idx="314">
                  <c:v>6.3140000000001004</c:v>
                </c:pt>
                <c:pt idx="315">
                  <c:v>6.3150000000001096</c:v>
                </c:pt>
                <c:pt idx="316">
                  <c:v>6.31600000000011</c:v>
                </c:pt>
                <c:pt idx="317">
                  <c:v>6.3170000000001103</c:v>
                </c:pt>
                <c:pt idx="318">
                  <c:v>6.3180000000001098</c:v>
                </c:pt>
                <c:pt idx="319">
                  <c:v>6.3190000000001101</c:v>
                </c:pt>
                <c:pt idx="320">
                  <c:v>6.3200000000001104</c:v>
                </c:pt>
                <c:pt idx="321">
                  <c:v>6.3210000000001099</c:v>
                </c:pt>
                <c:pt idx="322">
                  <c:v>6.3220000000001102</c:v>
                </c:pt>
                <c:pt idx="323">
                  <c:v>6.3230000000001096</c:v>
                </c:pt>
                <c:pt idx="324">
                  <c:v>6.32400000000011</c:v>
                </c:pt>
                <c:pt idx="325">
                  <c:v>6.3250000000001103</c:v>
                </c:pt>
                <c:pt idx="326">
                  <c:v>6.3260000000001098</c:v>
                </c:pt>
                <c:pt idx="327">
                  <c:v>6.3270000000001101</c:v>
                </c:pt>
                <c:pt idx="328">
                  <c:v>6.3280000000001104</c:v>
                </c:pt>
                <c:pt idx="329">
                  <c:v>6.3290000000001099</c:v>
                </c:pt>
                <c:pt idx="330">
                  <c:v>6.3300000000001102</c:v>
                </c:pt>
                <c:pt idx="331">
                  <c:v>6.3310000000001097</c:v>
                </c:pt>
                <c:pt idx="332">
                  <c:v>6.33200000000011</c:v>
                </c:pt>
                <c:pt idx="333">
                  <c:v>6.3330000000001103</c:v>
                </c:pt>
                <c:pt idx="334">
                  <c:v>6.3340000000001098</c:v>
                </c:pt>
                <c:pt idx="335">
                  <c:v>6.3350000000001101</c:v>
                </c:pt>
                <c:pt idx="336">
                  <c:v>6.3360000000001104</c:v>
                </c:pt>
                <c:pt idx="337">
                  <c:v>6.3370000000001099</c:v>
                </c:pt>
                <c:pt idx="338">
                  <c:v>6.3380000000001102</c:v>
                </c:pt>
                <c:pt idx="339">
                  <c:v>6.3390000000001097</c:v>
                </c:pt>
                <c:pt idx="340">
                  <c:v>6.34000000000011</c:v>
                </c:pt>
                <c:pt idx="341">
                  <c:v>6.3410000000001103</c:v>
                </c:pt>
                <c:pt idx="342">
                  <c:v>6.3420000000001098</c:v>
                </c:pt>
                <c:pt idx="343">
                  <c:v>6.3430000000001199</c:v>
                </c:pt>
                <c:pt idx="344">
                  <c:v>6.3440000000001104</c:v>
                </c:pt>
                <c:pt idx="345">
                  <c:v>6.3450000000001197</c:v>
                </c:pt>
                <c:pt idx="346">
                  <c:v>6.34600000000012</c:v>
                </c:pt>
                <c:pt idx="347">
                  <c:v>6.3470000000001203</c:v>
                </c:pt>
                <c:pt idx="348">
                  <c:v>6.3480000000001198</c:v>
                </c:pt>
                <c:pt idx="349">
                  <c:v>6.3490000000001201</c:v>
                </c:pt>
                <c:pt idx="350">
                  <c:v>6.3500000000001204</c:v>
                </c:pt>
              </c:numCache>
            </c:numRef>
          </c:cat>
          <c:val>
            <c:numRef>
              <c:f>TRF!$E$8:$E$358</c:f>
              <c:numCache>
                <c:formatCode>General</c:formatCode>
                <c:ptCount val="351"/>
                <c:pt idx="0">
                  <c:v>0.12000000000000011</c:v>
                </c:pt>
                <c:pt idx="1">
                  <c:v>0.11899999999999977</c:v>
                </c:pt>
                <c:pt idx="2">
                  <c:v>0.11800000000000033</c:v>
                </c:pt>
                <c:pt idx="3">
                  <c:v>0.11699999999999999</c:v>
                </c:pt>
                <c:pt idx="4">
                  <c:v>0.11600000000000055</c:v>
                </c:pt>
                <c:pt idx="5">
                  <c:v>0.11500000000000021</c:v>
                </c:pt>
                <c:pt idx="6">
                  <c:v>0.11399999999999988</c:v>
                </c:pt>
                <c:pt idx="7">
                  <c:v>0.11300000000000043</c:v>
                </c:pt>
                <c:pt idx="8">
                  <c:v>0.1120000000000001</c:v>
                </c:pt>
                <c:pt idx="9">
                  <c:v>0.11099999999999977</c:v>
                </c:pt>
                <c:pt idx="10">
                  <c:v>0.11000000000000032</c:v>
                </c:pt>
                <c:pt idx="11">
                  <c:v>0.10899999999999999</c:v>
                </c:pt>
                <c:pt idx="12">
                  <c:v>0.10800000000000054</c:v>
                </c:pt>
                <c:pt idx="13">
                  <c:v>0.10700000000000021</c:v>
                </c:pt>
                <c:pt idx="14">
                  <c:v>0.10599999999999987</c:v>
                </c:pt>
                <c:pt idx="15">
                  <c:v>0.10499999999998977</c:v>
                </c:pt>
                <c:pt idx="16">
                  <c:v>0.10399999999999032</c:v>
                </c:pt>
                <c:pt idx="17">
                  <c:v>0.10299999999998999</c:v>
                </c:pt>
                <c:pt idx="18">
                  <c:v>0.10199999999999054</c:v>
                </c:pt>
                <c:pt idx="19">
                  <c:v>0.10099999999999021</c:v>
                </c:pt>
                <c:pt idx="20">
                  <c:v>9.9999999999989875E-2</c:v>
                </c:pt>
                <c:pt idx="21">
                  <c:v>9.8999999999990429E-2</c:v>
                </c:pt>
                <c:pt idx="22">
                  <c:v>9.7999999999990095E-2</c:v>
                </c:pt>
                <c:pt idx="23">
                  <c:v>9.6999999999989761E-2</c:v>
                </c:pt>
                <c:pt idx="24">
                  <c:v>9.5999999999990315E-2</c:v>
                </c:pt>
                <c:pt idx="25">
                  <c:v>9.4999999999989981E-2</c:v>
                </c:pt>
                <c:pt idx="26">
                  <c:v>9.3999999999990536E-2</c:v>
                </c:pt>
                <c:pt idx="27">
                  <c:v>9.2999999999990202E-2</c:v>
                </c:pt>
                <c:pt idx="28">
                  <c:v>9.1999999999989868E-2</c:v>
                </c:pt>
                <c:pt idx="29">
                  <c:v>9.0999999999990422E-2</c:v>
                </c:pt>
                <c:pt idx="30">
                  <c:v>8.9999999999990088E-2</c:v>
                </c:pt>
                <c:pt idx="31">
                  <c:v>8.8999999999989754E-2</c:v>
                </c:pt>
                <c:pt idx="32">
                  <c:v>8.7999999999990308E-2</c:v>
                </c:pt>
                <c:pt idx="33">
                  <c:v>8.6999999999989974E-2</c:v>
                </c:pt>
                <c:pt idx="34">
                  <c:v>8.5999999999990528E-2</c:v>
                </c:pt>
                <c:pt idx="35">
                  <c:v>8.4999999999990195E-2</c:v>
                </c:pt>
                <c:pt idx="36">
                  <c:v>8.3999999999989861E-2</c:v>
                </c:pt>
                <c:pt idx="37">
                  <c:v>8.2999999999990415E-2</c:v>
                </c:pt>
                <c:pt idx="38">
                  <c:v>8.1999999999990081E-2</c:v>
                </c:pt>
                <c:pt idx="39">
                  <c:v>8.0999999999989747E-2</c:v>
                </c:pt>
                <c:pt idx="40">
                  <c:v>7.9999999999990301E-2</c:v>
                </c:pt>
                <c:pt idx="41">
                  <c:v>7.8999999999989967E-2</c:v>
                </c:pt>
                <c:pt idx="42">
                  <c:v>7.7999999999990521E-2</c:v>
                </c:pt>
                <c:pt idx="43">
                  <c:v>7.6999999999990187E-2</c:v>
                </c:pt>
                <c:pt idx="44">
                  <c:v>7.5999999999989853E-2</c:v>
                </c:pt>
                <c:pt idx="45">
                  <c:v>7.499999999997975E-2</c:v>
                </c:pt>
                <c:pt idx="46">
                  <c:v>7.3999999999980304E-2</c:v>
                </c:pt>
                <c:pt idx="47">
                  <c:v>7.299999999997997E-2</c:v>
                </c:pt>
                <c:pt idx="48">
                  <c:v>7.1999999999980524E-2</c:v>
                </c:pt>
                <c:pt idx="49">
                  <c:v>7.099999999998019E-2</c:v>
                </c:pt>
                <c:pt idx="50">
                  <c:v>6.9999999999979856E-2</c:v>
                </c:pt>
                <c:pt idx="51">
                  <c:v>6.899999999998041E-2</c:v>
                </c:pt>
                <c:pt idx="52">
                  <c:v>6.7999999999980076E-2</c:v>
                </c:pt>
                <c:pt idx="53">
                  <c:v>6.6999999999979742E-2</c:v>
                </c:pt>
                <c:pt idx="54">
                  <c:v>6.5999999999980297E-2</c:v>
                </c:pt>
                <c:pt idx="55">
                  <c:v>6.4999999999979963E-2</c:v>
                </c:pt>
                <c:pt idx="56">
                  <c:v>6.3999999999980517E-2</c:v>
                </c:pt>
                <c:pt idx="57">
                  <c:v>6.2999999999980183E-2</c:v>
                </c:pt>
                <c:pt idx="58">
                  <c:v>6.1999999999979849E-2</c:v>
                </c:pt>
                <c:pt idx="59">
                  <c:v>6.0999999999980403E-2</c:v>
                </c:pt>
                <c:pt idx="60">
                  <c:v>5.9999999999980069E-2</c:v>
                </c:pt>
                <c:pt idx="61">
                  <c:v>5.8999999999979735E-2</c:v>
                </c:pt>
                <c:pt idx="62">
                  <c:v>5.799999999998029E-2</c:v>
                </c:pt>
                <c:pt idx="63">
                  <c:v>5.6999999999979956E-2</c:v>
                </c:pt>
                <c:pt idx="64">
                  <c:v>5.599999999998051E-2</c:v>
                </c:pt>
                <c:pt idx="65">
                  <c:v>5.4999999999980176E-2</c:v>
                </c:pt>
                <c:pt idx="66">
                  <c:v>5.3999999999979842E-2</c:v>
                </c:pt>
                <c:pt idx="67">
                  <c:v>5.2999999999980396E-2</c:v>
                </c:pt>
                <c:pt idx="68">
                  <c:v>5.1999999999980062E-2</c:v>
                </c:pt>
                <c:pt idx="69">
                  <c:v>5.0999999999979728E-2</c:v>
                </c:pt>
                <c:pt idx="70">
                  <c:v>4.9999999999980282E-2</c:v>
                </c:pt>
                <c:pt idx="71">
                  <c:v>4.8999999999979948E-2</c:v>
                </c:pt>
                <c:pt idx="72">
                  <c:v>4.7999999999980503E-2</c:v>
                </c:pt>
                <c:pt idx="73">
                  <c:v>4.6999999999980169E-2</c:v>
                </c:pt>
                <c:pt idx="74">
                  <c:v>4.5999999999979835E-2</c:v>
                </c:pt>
                <c:pt idx="75">
                  <c:v>4.4999999999969731E-2</c:v>
                </c:pt>
                <c:pt idx="76">
                  <c:v>4.3999999999970285E-2</c:v>
                </c:pt>
                <c:pt idx="77">
                  <c:v>4.2999999999969951E-2</c:v>
                </c:pt>
                <c:pt idx="78">
                  <c:v>4.1999999999970505E-2</c:v>
                </c:pt>
                <c:pt idx="79">
                  <c:v>4.0999999999970171E-2</c:v>
                </c:pt>
                <c:pt idx="80">
                  <c:v>3.9999999999969837E-2</c:v>
                </c:pt>
                <c:pt idx="81">
                  <c:v>3.8999999999970392E-2</c:v>
                </c:pt>
                <c:pt idx="82">
                  <c:v>3.7999999999970058E-2</c:v>
                </c:pt>
                <c:pt idx="83">
                  <c:v>3.6999999999969724E-2</c:v>
                </c:pt>
                <c:pt idx="84">
                  <c:v>3.5999999999970278E-2</c:v>
                </c:pt>
                <c:pt idx="85">
                  <c:v>3.4999999999969944E-2</c:v>
                </c:pt>
                <c:pt idx="86">
                  <c:v>3.3999999999970498E-2</c:v>
                </c:pt>
                <c:pt idx="87">
                  <c:v>3.2999999999970164E-2</c:v>
                </c:pt>
                <c:pt idx="88">
                  <c:v>3.199999999996983E-2</c:v>
                </c:pt>
                <c:pt idx="89">
                  <c:v>3.0999999999970385E-2</c:v>
                </c:pt>
                <c:pt idx="90">
                  <c:v>2.9999999999970051E-2</c:v>
                </c:pt>
                <c:pt idx="91">
                  <c:v>2.8999999999969717E-2</c:v>
                </c:pt>
                <c:pt idx="92">
                  <c:v>2.7999999999970271E-2</c:v>
                </c:pt>
                <c:pt idx="93">
                  <c:v>2.6999999999969937E-2</c:v>
                </c:pt>
                <c:pt idx="94">
                  <c:v>2.5999999999970491E-2</c:v>
                </c:pt>
                <c:pt idx="95">
                  <c:v>2.4999999999970157E-2</c:v>
                </c:pt>
                <c:pt idx="96">
                  <c:v>2.3999999999969823E-2</c:v>
                </c:pt>
                <c:pt idx="97">
                  <c:v>2.2999999999970377E-2</c:v>
                </c:pt>
                <c:pt idx="98">
                  <c:v>2.1999999999970044E-2</c:v>
                </c:pt>
                <c:pt idx="99">
                  <c:v>2.099999999996971E-2</c:v>
                </c:pt>
                <c:pt idx="100">
                  <c:v>1.9999999999970264E-2</c:v>
                </c:pt>
                <c:pt idx="101">
                  <c:v>1.899999999996993E-2</c:v>
                </c:pt>
                <c:pt idx="102">
                  <c:v>1.7999999999970484E-2</c:v>
                </c:pt>
                <c:pt idx="103">
                  <c:v>1.699999999997015E-2</c:v>
                </c:pt>
                <c:pt idx="104">
                  <c:v>1.5999999999969816E-2</c:v>
                </c:pt>
                <c:pt idx="105">
                  <c:v>1.4999999999959712E-2</c:v>
                </c:pt>
                <c:pt idx="106">
                  <c:v>1.3999999999960266E-2</c:v>
                </c:pt>
                <c:pt idx="107">
                  <c:v>1.2999999999959932E-2</c:v>
                </c:pt>
                <c:pt idx="108">
                  <c:v>1.1999999999960487E-2</c:v>
                </c:pt>
                <c:pt idx="109">
                  <c:v>1.0999999999960153E-2</c:v>
                </c:pt>
                <c:pt idx="110">
                  <c:v>9.9999999999598188E-3</c:v>
                </c:pt>
                <c:pt idx="111">
                  <c:v>8.999999999960373E-3</c:v>
                </c:pt>
                <c:pt idx="112">
                  <c:v>7.9999999999600391E-3</c:v>
                </c:pt>
                <c:pt idx="113">
                  <c:v>6.9999999999597051E-3</c:v>
                </c:pt>
                <c:pt idx="114">
                  <c:v>5.9999999999602593E-3</c:v>
                </c:pt>
                <c:pt idx="115">
                  <c:v>4.9999999999599254E-3</c:v>
                </c:pt>
                <c:pt idx="116">
                  <c:v>3.9999999999604796E-3</c:v>
                </c:pt>
                <c:pt idx="117">
                  <c:v>2.9999999999601457E-3</c:v>
                </c:pt>
                <c:pt idx="118">
                  <c:v>1.9999999999598117E-3</c:v>
                </c:pt>
                <c:pt idx="119">
                  <c:v>9.9999999996036593E-4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-0.12000000000006039</c:v>
                </c:pt>
                <c:pt idx="181">
                  <c:v>-0.12100000000005984</c:v>
                </c:pt>
                <c:pt idx="182">
                  <c:v>-0.12200000000006017</c:v>
                </c:pt>
                <c:pt idx="183">
                  <c:v>-0.12300000000006051</c:v>
                </c:pt>
                <c:pt idx="184">
                  <c:v>-0.12400000000005995</c:v>
                </c:pt>
                <c:pt idx="185">
                  <c:v>-0.12500000000006029</c:v>
                </c:pt>
                <c:pt idx="186">
                  <c:v>-0.12600000000006062</c:v>
                </c:pt>
                <c:pt idx="187">
                  <c:v>-0.12700000000006006</c:v>
                </c:pt>
                <c:pt idx="188">
                  <c:v>-0.1280000000000604</c:v>
                </c:pt>
                <c:pt idx="189">
                  <c:v>-0.12900000000005984</c:v>
                </c:pt>
                <c:pt idx="190">
                  <c:v>-0.13000000000006018</c:v>
                </c:pt>
                <c:pt idx="191">
                  <c:v>-0.13100000000006051</c:v>
                </c:pt>
                <c:pt idx="192">
                  <c:v>-0.13200000000005996</c:v>
                </c:pt>
                <c:pt idx="193">
                  <c:v>-0.13300000000006029</c:v>
                </c:pt>
                <c:pt idx="194">
                  <c:v>-0.13400000000006063</c:v>
                </c:pt>
                <c:pt idx="195">
                  <c:v>-0.13500000000006984</c:v>
                </c:pt>
                <c:pt idx="196">
                  <c:v>-0.13600000000007018</c:v>
                </c:pt>
                <c:pt idx="197">
                  <c:v>-0.13700000000007051</c:v>
                </c:pt>
                <c:pt idx="198">
                  <c:v>-0.13800000000006996</c:v>
                </c:pt>
                <c:pt idx="199">
                  <c:v>-0.13900000000007029</c:v>
                </c:pt>
                <c:pt idx="200">
                  <c:v>-0.14000000000007062</c:v>
                </c:pt>
                <c:pt idx="201">
                  <c:v>-0.14100000000007007</c:v>
                </c:pt>
                <c:pt idx="202">
                  <c:v>-0.1420000000000704</c:v>
                </c:pt>
                <c:pt idx="203">
                  <c:v>-0.14300000000006985</c:v>
                </c:pt>
                <c:pt idx="204">
                  <c:v>-0.14400000000007018</c:v>
                </c:pt>
                <c:pt idx="205">
                  <c:v>-0.14500000000007052</c:v>
                </c:pt>
                <c:pt idx="206">
                  <c:v>-0.14600000000006996</c:v>
                </c:pt>
                <c:pt idx="207">
                  <c:v>-0.1470000000000703</c:v>
                </c:pt>
                <c:pt idx="208">
                  <c:v>-0.14800000000007063</c:v>
                </c:pt>
                <c:pt idx="209">
                  <c:v>-0.14900000000007008</c:v>
                </c:pt>
                <c:pt idx="210">
                  <c:v>-0.15000000000007041</c:v>
                </c:pt>
                <c:pt idx="211">
                  <c:v>-0.15100000000006986</c:v>
                </c:pt>
                <c:pt idx="212">
                  <c:v>-0.15200000000007019</c:v>
                </c:pt>
                <c:pt idx="213">
                  <c:v>-0.15300000000007052</c:v>
                </c:pt>
                <c:pt idx="214">
                  <c:v>-0.15400000000006997</c:v>
                </c:pt>
                <c:pt idx="215">
                  <c:v>-0.1550000000000703</c:v>
                </c:pt>
                <c:pt idx="216">
                  <c:v>-0.15600000000007064</c:v>
                </c:pt>
                <c:pt idx="217">
                  <c:v>-0.15700000000007008</c:v>
                </c:pt>
                <c:pt idx="218">
                  <c:v>-0.15800000000007042</c:v>
                </c:pt>
                <c:pt idx="219">
                  <c:v>-0.15900000000006986</c:v>
                </c:pt>
                <c:pt idx="220">
                  <c:v>-0.1600000000000702</c:v>
                </c:pt>
                <c:pt idx="221">
                  <c:v>-0.16100000000007053</c:v>
                </c:pt>
                <c:pt idx="222">
                  <c:v>-0.16200000000006998</c:v>
                </c:pt>
                <c:pt idx="223">
                  <c:v>-0.16300000000007031</c:v>
                </c:pt>
                <c:pt idx="224">
                  <c:v>-0.16400000000007064</c:v>
                </c:pt>
                <c:pt idx="225">
                  <c:v>-0.16500000000007986</c:v>
                </c:pt>
                <c:pt idx="226">
                  <c:v>-0.16600000000007042</c:v>
                </c:pt>
                <c:pt idx="227">
                  <c:v>-0.16700000000008053</c:v>
                </c:pt>
                <c:pt idx="228">
                  <c:v>-0.16800000000007997</c:v>
                </c:pt>
                <c:pt idx="229">
                  <c:v>-0.16900000000008031</c:v>
                </c:pt>
                <c:pt idx="230">
                  <c:v>-0.17000000000008064</c:v>
                </c:pt>
                <c:pt idx="231">
                  <c:v>-0.17100000000008009</c:v>
                </c:pt>
                <c:pt idx="232">
                  <c:v>-0.17200000000008042</c:v>
                </c:pt>
                <c:pt idx="233">
                  <c:v>-0.17300000000007987</c:v>
                </c:pt>
                <c:pt idx="234">
                  <c:v>-0.1740000000000802</c:v>
                </c:pt>
                <c:pt idx="235">
                  <c:v>-0.17500000000008054</c:v>
                </c:pt>
                <c:pt idx="236">
                  <c:v>-0.17600000000007998</c:v>
                </c:pt>
                <c:pt idx="237">
                  <c:v>-0.17700000000008032</c:v>
                </c:pt>
                <c:pt idx="238">
                  <c:v>-0.17800000000008065</c:v>
                </c:pt>
                <c:pt idx="239">
                  <c:v>-0.1790000000000801</c:v>
                </c:pt>
                <c:pt idx="240">
                  <c:v>-0.18000000000008043</c:v>
                </c:pt>
                <c:pt idx="241">
                  <c:v>-0.18100000000007987</c:v>
                </c:pt>
                <c:pt idx="242">
                  <c:v>-0.18200000000008021</c:v>
                </c:pt>
                <c:pt idx="243">
                  <c:v>-0.18300000000008054</c:v>
                </c:pt>
                <c:pt idx="244">
                  <c:v>-0.18400000000007999</c:v>
                </c:pt>
                <c:pt idx="245">
                  <c:v>-0.18500000000008032</c:v>
                </c:pt>
                <c:pt idx="246">
                  <c:v>-0.18600000000008066</c:v>
                </c:pt>
                <c:pt idx="247">
                  <c:v>-0.1870000000000801</c:v>
                </c:pt>
                <c:pt idx="248">
                  <c:v>-0.18800000000008044</c:v>
                </c:pt>
                <c:pt idx="249">
                  <c:v>-0.18900000000007988</c:v>
                </c:pt>
                <c:pt idx="250">
                  <c:v>-0.19000000000008022</c:v>
                </c:pt>
                <c:pt idx="251">
                  <c:v>-0.19100000000008055</c:v>
                </c:pt>
                <c:pt idx="252">
                  <c:v>-0.19200000000008</c:v>
                </c:pt>
                <c:pt idx="253">
                  <c:v>-0.19300000000008033</c:v>
                </c:pt>
                <c:pt idx="254">
                  <c:v>-0.19400000000008066</c:v>
                </c:pt>
                <c:pt idx="255">
                  <c:v>-0.19500000000008988</c:v>
                </c:pt>
                <c:pt idx="256">
                  <c:v>-0.19600000000008044</c:v>
                </c:pt>
                <c:pt idx="257">
                  <c:v>-0.19700000000009055</c:v>
                </c:pt>
                <c:pt idx="258">
                  <c:v>-0.19800000000008999</c:v>
                </c:pt>
                <c:pt idx="259">
                  <c:v>-0.19900000000009033</c:v>
                </c:pt>
                <c:pt idx="260">
                  <c:v>-0.20000000000009066</c:v>
                </c:pt>
                <c:pt idx="261">
                  <c:v>-0.20100000000009011</c:v>
                </c:pt>
                <c:pt idx="262">
                  <c:v>-0.20200000000009044</c:v>
                </c:pt>
                <c:pt idx="263">
                  <c:v>-0.20300000000008989</c:v>
                </c:pt>
                <c:pt idx="264">
                  <c:v>-0.20400000000009022</c:v>
                </c:pt>
                <c:pt idx="265">
                  <c:v>-0.20500000000009055</c:v>
                </c:pt>
                <c:pt idx="266">
                  <c:v>-0.20600000000009</c:v>
                </c:pt>
                <c:pt idx="267">
                  <c:v>-0.20700000000009033</c:v>
                </c:pt>
                <c:pt idx="268">
                  <c:v>-0.20800000000009067</c:v>
                </c:pt>
                <c:pt idx="269">
                  <c:v>-0.20900000000009011</c:v>
                </c:pt>
                <c:pt idx="270">
                  <c:v>-0.21000000000009045</c:v>
                </c:pt>
                <c:pt idx="271">
                  <c:v>-0.21100000000008989</c:v>
                </c:pt>
                <c:pt idx="272">
                  <c:v>-0.21200000000009023</c:v>
                </c:pt>
                <c:pt idx="273">
                  <c:v>-0.21300000000009056</c:v>
                </c:pt>
                <c:pt idx="274">
                  <c:v>-0.21400000000009001</c:v>
                </c:pt>
                <c:pt idx="275">
                  <c:v>-0.21500000000009034</c:v>
                </c:pt>
                <c:pt idx="276">
                  <c:v>-0.21600000000009068</c:v>
                </c:pt>
                <c:pt idx="277">
                  <c:v>-0.21700000000009012</c:v>
                </c:pt>
                <c:pt idx="278">
                  <c:v>-0.21800000000009045</c:v>
                </c:pt>
                <c:pt idx="279">
                  <c:v>-0.2190000000000899</c:v>
                </c:pt>
                <c:pt idx="280">
                  <c:v>-0.22000000000009023</c:v>
                </c:pt>
                <c:pt idx="281">
                  <c:v>-0.22100000000009057</c:v>
                </c:pt>
                <c:pt idx="282">
                  <c:v>-0.22200000000009001</c:v>
                </c:pt>
                <c:pt idx="283">
                  <c:v>-0.22300000000010012</c:v>
                </c:pt>
                <c:pt idx="284">
                  <c:v>-0.22400000000009068</c:v>
                </c:pt>
                <c:pt idx="285">
                  <c:v>-0.2250000000000999</c:v>
                </c:pt>
                <c:pt idx="286">
                  <c:v>-0.22600000000010023</c:v>
                </c:pt>
                <c:pt idx="287">
                  <c:v>-0.22700000000010057</c:v>
                </c:pt>
                <c:pt idx="288">
                  <c:v>-0.22800000000010001</c:v>
                </c:pt>
                <c:pt idx="289">
                  <c:v>-0.22900000000010035</c:v>
                </c:pt>
                <c:pt idx="290">
                  <c:v>-0.23000000000010068</c:v>
                </c:pt>
                <c:pt idx="291">
                  <c:v>-0.23100000000010013</c:v>
                </c:pt>
                <c:pt idx="292">
                  <c:v>-0.23200000000010046</c:v>
                </c:pt>
                <c:pt idx="293">
                  <c:v>-0.2330000000000999</c:v>
                </c:pt>
                <c:pt idx="294">
                  <c:v>-0.23400000000010024</c:v>
                </c:pt>
                <c:pt idx="295">
                  <c:v>-0.23500000000010057</c:v>
                </c:pt>
                <c:pt idx="296">
                  <c:v>-0.23600000000010002</c:v>
                </c:pt>
                <c:pt idx="297">
                  <c:v>-0.23700000000010035</c:v>
                </c:pt>
                <c:pt idx="298">
                  <c:v>-0.23800000000010069</c:v>
                </c:pt>
                <c:pt idx="299">
                  <c:v>-0.23900000000010013</c:v>
                </c:pt>
                <c:pt idx="300">
                  <c:v>-0.24000000000010047</c:v>
                </c:pt>
                <c:pt idx="301">
                  <c:v>-0.24100000000009991</c:v>
                </c:pt>
                <c:pt idx="302">
                  <c:v>-0.24200000000010025</c:v>
                </c:pt>
                <c:pt idx="303">
                  <c:v>-0.24300000000010058</c:v>
                </c:pt>
                <c:pt idx="304">
                  <c:v>-0.24400000000010003</c:v>
                </c:pt>
                <c:pt idx="305">
                  <c:v>-0.24500000000010036</c:v>
                </c:pt>
                <c:pt idx="306">
                  <c:v>-0.24600000000010069</c:v>
                </c:pt>
                <c:pt idx="307">
                  <c:v>-0.24700000000010014</c:v>
                </c:pt>
                <c:pt idx="308">
                  <c:v>-0.24800000000010047</c:v>
                </c:pt>
                <c:pt idx="309">
                  <c:v>-0.24900000000009992</c:v>
                </c:pt>
                <c:pt idx="310">
                  <c:v>-0.25000000000010025</c:v>
                </c:pt>
                <c:pt idx="311">
                  <c:v>-0.25100000000010059</c:v>
                </c:pt>
                <c:pt idx="312">
                  <c:v>-0.25200000000010003</c:v>
                </c:pt>
                <c:pt idx="313">
                  <c:v>-0.25300000000011014</c:v>
                </c:pt>
                <c:pt idx="314">
                  <c:v>-0.2540000000001007</c:v>
                </c:pt>
                <c:pt idx="315">
                  <c:v>-0.25500000000010992</c:v>
                </c:pt>
                <c:pt idx="316">
                  <c:v>-0.25600000000011025</c:v>
                </c:pt>
                <c:pt idx="317">
                  <c:v>-0.25700000000011058</c:v>
                </c:pt>
                <c:pt idx="318">
                  <c:v>-0.25800000000011003</c:v>
                </c:pt>
                <c:pt idx="319">
                  <c:v>-0.25900000000011036</c:v>
                </c:pt>
                <c:pt idx="320">
                  <c:v>-0.2600000000001107</c:v>
                </c:pt>
                <c:pt idx="321">
                  <c:v>-0.26100000000011014</c:v>
                </c:pt>
                <c:pt idx="322">
                  <c:v>-0.26200000000011048</c:v>
                </c:pt>
                <c:pt idx="323">
                  <c:v>-0.26300000000010992</c:v>
                </c:pt>
                <c:pt idx="324">
                  <c:v>-0.26400000000011026</c:v>
                </c:pt>
                <c:pt idx="325">
                  <c:v>-0.26500000000011059</c:v>
                </c:pt>
                <c:pt idx="326">
                  <c:v>-0.26600000000011004</c:v>
                </c:pt>
                <c:pt idx="327">
                  <c:v>-0.26700000000011037</c:v>
                </c:pt>
                <c:pt idx="328">
                  <c:v>-0.26800000000011071</c:v>
                </c:pt>
                <c:pt idx="329">
                  <c:v>-0.26900000000011015</c:v>
                </c:pt>
                <c:pt idx="330">
                  <c:v>-0.27000000000011048</c:v>
                </c:pt>
                <c:pt idx="331">
                  <c:v>-0.27100000000010993</c:v>
                </c:pt>
                <c:pt idx="332">
                  <c:v>-0.27200000000011026</c:v>
                </c:pt>
                <c:pt idx="333">
                  <c:v>-0.2730000000001106</c:v>
                </c:pt>
                <c:pt idx="334">
                  <c:v>-0.27400000000011004</c:v>
                </c:pt>
                <c:pt idx="335">
                  <c:v>-0.27500000000011038</c:v>
                </c:pt>
                <c:pt idx="336">
                  <c:v>-0.27600000000011071</c:v>
                </c:pt>
                <c:pt idx="337">
                  <c:v>-0.27700000000011016</c:v>
                </c:pt>
                <c:pt idx="338">
                  <c:v>-0.27800000000011049</c:v>
                </c:pt>
                <c:pt idx="339">
                  <c:v>-0.27900000000010994</c:v>
                </c:pt>
                <c:pt idx="340">
                  <c:v>-0.28000000000011027</c:v>
                </c:pt>
                <c:pt idx="341">
                  <c:v>-0.28100000000011061</c:v>
                </c:pt>
                <c:pt idx="342">
                  <c:v>-0.28200000000011005</c:v>
                </c:pt>
                <c:pt idx="343">
                  <c:v>-0.28300000000012016</c:v>
                </c:pt>
                <c:pt idx="344">
                  <c:v>-0.28400000000011072</c:v>
                </c:pt>
                <c:pt idx="345">
                  <c:v>-0.28500000000011994</c:v>
                </c:pt>
                <c:pt idx="346">
                  <c:v>-0.28600000000012027</c:v>
                </c:pt>
                <c:pt idx="347">
                  <c:v>-0.2870000000001206</c:v>
                </c:pt>
                <c:pt idx="348">
                  <c:v>-0.28800000000012005</c:v>
                </c:pt>
                <c:pt idx="349">
                  <c:v>-0.28900000000012038</c:v>
                </c:pt>
                <c:pt idx="350">
                  <c:v>-0.29000000000012072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25-4006-A264-1F689E76B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2414639"/>
        <c:axId val="1632415055"/>
      </c:lineChart>
      <c:catAx>
        <c:axId val="1632414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32415055"/>
        <c:crosses val="autoZero"/>
        <c:auto val="1"/>
        <c:lblAlgn val="ctr"/>
        <c:lblOffset val="100"/>
        <c:noMultiLvlLbl val="0"/>
      </c:catAx>
      <c:valAx>
        <c:axId val="163241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32414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388620</xdr:colOff>
      <xdr:row>0</xdr:row>
      <xdr:rowOff>99060</xdr:rowOff>
    </xdr:from>
    <xdr:to>
      <xdr:col>21</xdr:col>
      <xdr:colOff>1270</xdr:colOff>
      <xdr:row>17</xdr:row>
      <xdr:rowOff>26670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X25"/>
  <sheetViews>
    <sheetView topLeftCell="D1" workbookViewId="0">
      <selection activeCell="H13" sqref="H13"/>
    </sheetView>
  </sheetViews>
  <sheetFormatPr defaultRowHeight="16.2" x14ac:dyDescent="0.3"/>
  <cols>
    <col min="1" max="1" width="9.88671875" customWidth="1"/>
    <col min="6" max="6" width="4.109375" customWidth="1"/>
    <col min="10" max="10" width="12.77734375" bestFit="1" customWidth="1"/>
    <col min="12" max="12" width="4.5546875" customWidth="1"/>
    <col min="18" max="18" width="4.33203125" customWidth="1"/>
    <col min="22" max="22" width="12.77734375" bestFit="1" customWidth="1"/>
    <col min="24" max="24" width="3.77734375" customWidth="1"/>
  </cols>
  <sheetData>
    <row r="1" spans="1:24" x14ac:dyDescent="0.3">
      <c r="A1" t="s">
        <v>0</v>
      </c>
    </row>
    <row r="4" spans="1:24" x14ac:dyDescent="0.3">
      <c r="A4" t="s">
        <v>1</v>
      </c>
      <c r="B4">
        <v>100</v>
      </c>
      <c r="F4" t="s">
        <v>10</v>
      </c>
      <c r="G4" t="s">
        <v>11</v>
      </c>
      <c r="H4" t="s">
        <v>11</v>
      </c>
      <c r="I4" t="s">
        <v>12</v>
      </c>
    </row>
    <row r="5" spans="1:24" x14ac:dyDescent="0.3">
      <c r="A5" t="s">
        <v>2</v>
      </c>
      <c r="B5">
        <v>95</v>
      </c>
      <c r="E5" t="s">
        <v>9</v>
      </c>
      <c r="G5">
        <v>90</v>
      </c>
      <c r="H5">
        <v>70</v>
      </c>
      <c r="I5">
        <v>1</v>
      </c>
    </row>
    <row r="6" spans="1:24" x14ac:dyDescent="0.3">
      <c r="A6" t="s">
        <v>3</v>
      </c>
      <c r="B6">
        <v>0.08</v>
      </c>
      <c r="F6">
        <f>BSOptionValue(-1, B4,B5,B6,B8,B12,B13)</f>
        <v>2.489559174432717</v>
      </c>
      <c r="G6">
        <f>DOPut($B$4,$B$5,$B$6,$B$8,$B$12,$B$13,G5)</f>
        <v>8.3530190015238759E-2</v>
      </c>
      <c r="H6">
        <f t="shared" ref="H6:I6" si="0">DOPut($B$4,$B$5,$B$6,$B$8,$B$12,$B$13,H5)</f>
        <v>2.3184213787406343</v>
      </c>
      <c r="I6">
        <f t="shared" si="0"/>
        <v>2.489559174432717</v>
      </c>
    </row>
    <row r="8" spans="1:24" x14ac:dyDescent="0.3">
      <c r="A8" t="s">
        <v>4</v>
      </c>
      <c r="B8" s="1">
        <v>0.03</v>
      </c>
    </row>
    <row r="9" spans="1:24" x14ac:dyDescent="0.3">
      <c r="B9" s="2"/>
    </row>
    <row r="10" spans="1:24" x14ac:dyDescent="0.3">
      <c r="A10" t="s">
        <v>5</v>
      </c>
      <c r="B10" s="2">
        <v>0</v>
      </c>
      <c r="E10" t="s">
        <v>13</v>
      </c>
      <c r="F10" t="s">
        <v>14</v>
      </c>
      <c r="G10" t="s">
        <v>15</v>
      </c>
      <c r="H10" t="s">
        <v>15</v>
      </c>
      <c r="I10" t="s">
        <v>15</v>
      </c>
    </row>
    <row r="11" spans="1:24" x14ac:dyDescent="0.3">
      <c r="A11" t="s">
        <v>6</v>
      </c>
      <c r="B11">
        <v>0.5</v>
      </c>
      <c r="E11" s="1">
        <v>0.4</v>
      </c>
      <c r="G11">
        <v>90</v>
      </c>
      <c r="H11">
        <v>70</v>
      </c>
      <c r="I11">
        <v>1</v>
      </c>
    </row>
    <row r="12" spans="1:24" x14ac:dyDescent="0.3">
      <c r="A12" t="s">
        <v>7</v>
      </c>
      <c r="B12" s="2">
        <f>B11-B10</f>
        <v>0.5</v>
      </c>
      <c r="F12">
        <f>BSOptionValue(-1, B4,B5,B6,B8,B12,E11)</f>
        <v>7.4369575313695151</v>
      </c>
      <c r="G12">
        <f>DOPut($B$4,$B$5,$B$6,$B$8,$B$12,$E$11,G11)</f>
        <v>1.4891412473780563E-2</v>
      </c>
      <c r="H12">
        <f>DOPut($B$4,$B$5,$B$6,$B$8,$B$12,$E$11,H11)</f>
        <v>2.3776019354513203</v>
      </c>
      <c r="I12">
        <f t="shared" ref="I12" si="1">DOPut($B$4,$B$5,$B$6,$B$8,$B$12,$E$11,I11)</f>
        <v>7.4369575313695151</v>
      </c>
    </row>
    <row r="13" spans="1:24" x14ac:dyDescent="0.3">
      <c r="A13" t="s">
        <v>8</v>
      </c>
      <c r="B13" s="1">
        <v>0.2</v>
      </c>
    </row>
    <row r="14" spans="1:24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5"/>
      <c r="U14" s="5"/>
      <c r="V14" s="5"/>
      <c r="W14" s="5"/>
      <c r="X14" s="5"/>
    </row>
    <row r="15" spans="1:24" x14ac:dyDescent="0.3">
      <c r="A15" s="3" t="s">
        <v>20</v>
      </c>
      <c r="B15" s="3">
        <v>50</v>
      </c>
      <c r="D15" s="3" t="s">
        <v>30</v>
      </c>
      <c r="E15" s="3">
        <f>BS(B15,B16,B17,B18,B19,B20,-1)</f>
        <v>4.0759807455315809</v>
      </c>
      <c r="F15" s="7"/>
      <c r="G15" s="3" t="s">
        <v>16</v>
      </c>
      <c r="H15" s="3">
        <v>50</v>
      </c>
      <c r="I15" s="3"/>
      <c r="J15" s="3" t="s">
        <v>34</v>
      </c>
      <c r="K15" s="3">
        <f>BS(H15,H16,H17,H18,H19,H20,-1)</f>
        <v>4.0759807455315809</v>
      </c>
      <c r="L15" s="5"/>
      <c r="M15" s="3" t="s">
        <v>39</v>
      </c>
      <c r="N15" s="3">
        <v>100</v>
      </c>
      <c r="O15" s="3"/>
      <c r="P15" s="3" t="s">
        <v>40</v>
      </c>
      <c r="Q15" s="6">
        <f>BS(N15,N16,N17,N18,N19,N20,-1)</f>
        <v>2.489559174432717</v>
      </c>
      <c r="R15" s="5"/>
      <c r="S15" s="3" t="s">
        <v>39</v>
      </c>
      <c r="T15" s="3">
        <v>50</v>
      </c>
      <c r="U15" s="3"/>
      <c r="V15" s="3" t="s">
        <v>47</v>
      </c>
      <c r="W15" s="3">
        <f>BS(T15,T16,T17,T18,T19,T20,-1)</f>
        <v>4.0759807455315809</v>
      </c>
      <c r="X15" s="5"/>
    </row>
    <row r="16" spans="1:24" x14ac:dyDescent="0.3">
      <c r="A16" s="3" t="s">
        <v>21</v>
      </c>
      <c r="B16" s="3">
        <v>50</v>
      </c>
      <c r="D16" s="3" t="s">
        <v>31</v>
      </c>
      <c r="E16" s="3">
        <f>DOPut(B15,B16,B17,B18,B19,B20,B21)</f>
        <v>0.54241872245662481</v>
      </c>
      <c r="F16" s="7"/>
      <c r="G16" s="3" t="s">
        <v>21</v>
      </c>
      <c r="H16" s="3">
        <v>50</v>
      </c>
      <c r="I16" s="3"/>
      <c r="J16" s="3" t="s">
        <v>57</v>
      </c>
      <c r="K16" s="3">
        <f>DOPut(H15,H16,H17,H18,H19,H20,H21)</f>
        <v>0.54241872245662481</v>
      </c>
      <c r="L16" s="5"/>
      <c r="M16" s="3" t="s">
        <v>41</v>
      </c>
      <c r="N16" s="3">
        <v>95</v>
      </c>
      <c r="O16" s="3"/>
      <c r="P16" s="3" t="s">
        <v>42</v>
      </c>
      <c r="Q16" s="6">
        <f>BS(N15,N16,N17,N18,N19,N21,-1)</f>
        <v>7.4369575313695222</v>
      </c>
      <c r="R16" s="5"/>
      <c r="S16" s="3" t="s">
        <v>21</v>
      </c>
      <c r="T16" s="3">
        <v>50</v>
      </c>
      <c r="U16" s="3"/>
      <c r="V16" s="3" t="s">
        <v>48</v>
      </c>
      <c r="W16" s="3">
        <f>BS(T15,T16,T17,T18,T19,T21,-1)</f>
        <v>2.8445845938750409</v>
      </c>
      <c r="X16" s="5"/>
    </row>
    <row r="17" spans="1:24" x14ac:dyDescent="0.3">
      <c r="A17" s="3" t="s">
        <v>17</v>
      </c>
      <c r="B17" s="3">
        <v>0.1</v>
      </c>
      <c r="D17" s="3" t="s">
        <v>32</v>
      </c>
      <c r="E17" s="3">
        <f>DOPut(B15,B16,B17,B18,B19,B20,B22)</f>
        <v>1.8481434428975625</v>
      </c>
      <c r="F17" s="7"/>
      <c r="G17" s="3" t="s">
        <v>35</v>
      </c>
      <c r="H17" s="3">
        <v>0.1</v>
      </c>
      <c r="I17" s="3"/>
      <c r="J17" s="3" t="s">
        <v>36</v>
      </c>
      <c r="K17" s="3">
        <f>DOPut(H15,H16,H17,H18,H19,H20,H22)</f>
        <v>0.63799622752974372</v>
      </c>
      <c r="L17" s="5"/>
      <c r="M17" s="3" t="s">
        <v>43</v>
      </c>
      <c r="N17" s="3">
        <v>0.08</v>
      </c>
      <c r="O17" s="3"/>
      <c r="P17" s="3"/>
      <c r="Q17" s="3"/>
      <c r="R17" s="5"/>
      <c r="S17" s="3" t="s">
        <v>49</v>
      </c>
      <c r="T17" s="3">
        <v>0.1</v>
      </c>
      <c r="U17" s="3"/>
      <c r="V17" s="3" t="s">
        <v>50</v>
      </c>
      <c r="W17" s="3">
        <f>DOPut(T15,T16,T17,T18,T19,T20,T22)</f>
        <v>0.54241872245662481</v>
      </c>
      <c r="X17" s="5"/>
    </row>
    <row r="18" spans="1:24" x14ac:dyDescent="0.3">
      <c r="A18" s="3" t="s">
        <v>18</v>
      </c>
      <c r="B18" s="3">
        <v>0</v>
      </c>
      <c r="D18" s="3" t="s">
        <v>56</v>
      </c>
      <c r="E18" s="3">
        <f>DOPut(B15,B16,B17,B18,B19,B20,B23)</f>
        <v>3.2284011833756878</v>
      </c>
      <c r="F18" s="7"/>
      <c r="G18" s="3" t="s">
        <v>18</v>
      </c>
      <c r="H18" s="3">
        <v>0</v>
      </c>
      <c r="I18" s="3"/>
      <c r="J18" s="3" t="s">
        <v>37</v>
      </c>
      <c r="K18" s="3">
        <f>DOPut(H15,H16,H17,H18,H19,H20,H23)</f>
        <v>3.2284011833756878</v>
      </c>
      <c r="L18" s="5"/>
      <c r="M18" s="3" t="s">
        <v>44</v>
      </c>
      <c r="N18" s="3">
        <v>0.03</v>
      </c>
      <c r="O18" s="3"/>
      <c r="P18" s="3"/>
      <c r="Q18" s="3"/>
      <c r="R18" s="5"/>
      <c r="S18" s="3" t="s">
        <v>44</v>
      </c>
      <c r="T18" s="3">
        <v>0</v>
      </c>
      <c r="U18" s="3"/>
      <c r="V18" s="3" t="s">
        <v>51</v>
      </c>
      <c r="W18" s="3">
        <f>DOPut(T15,T16,T17,T18,T19,T21,T22)</f>
        <v>0.87918886337667779</v>
      </c>
      <c r="X18" s="5"/>
    </row>
    <row r="19" spans="1:24" x14ac:dyDescent="0.3">
      <c r="A19" s="3" t="s">
        <v>22</v>
      </c>
      <c r="B19" s="4">
        <f>0.4166666</f>
        <v>0.4166666</v>
      </c>
      <c r="D19" s="3" t="s">
        <v>33</v>
      </c>
      <c r="E19" s="3">
        <f>DOPut(B15,B16,B17,B18,B19,B20,B24)</f>
        <v>4.0759807455315809</v>
      </c>
      <c r="F19" s="7"/>
      <c r="G19" s="3" t="s">
        <v>22</v>
      </c>
      <c r="H19" s="4">
        <f>0.4166666</f>
        <v>0.4166666</v>
      </c>
      <c r="I19" s="3"/>
      <c r="J19" s="3" t="s">
        <v>38</v>
      </c>
      <c r="K19" s="3">
        <f>DOPut(H15,H16,H17,H18,H19,H20,H24)</f>
        <v>3.3055962943162456</v>
      </c>
      <c r="L19" s="5"/>
      <c r="M19" s="3" t="s">
        <v>45</v>
      </c>
      <c r="N19" s="3">
        <v>0.5</v>
      </c>
      <c r="O19" s="3"/>
      <c r="P19" s="3"/>
      <c r="Q19" s="3"/>
      <c r="R19" s="5"/>
      <c r="S19" s="3" t="s">
        <v>22</v>
      </c>
      <c r="T19" s="4">
        <f>0.4166666</f>
        <v>0.4166666</v>
      </c>
      <c r="U19" s="3"/>
      <c r="V19" s="3" t="s">
        <v>52</v>
      </c>
      <c r="W19" s="3">
        <f>DOPut(T15,T16,T17,T18,T19,T20,T23)</f>
        <v>3.2284011833756878</v>
      </c>
      <c r="X19" s="5"/>
    </row>
    <row r="20" spans="1:24" x14ac:dyDescent="0.3">
      <c r="A20" s="3" t="s">
        <v>26</v>
      </c>
      <c r="B20" s="3">
        <v>0.4</v>
      </c>
      <c r="F20" s="7"/>
      <c r="G20" s="3" t="s">
        <v>23</v>
      </c>
      <c r="H20" s="3">
        <v>0.4</v>
      </c>
      <c r="I20" s="3"/>
      <c r="J20" s="3"/>
      <c r="K20" s="3"/>
      <c r="L20" s="5"/>
      <c r="M20" s="3" t="s">
        <v>23</v>
      </c>
      <c r="N20" s="3">
        <v>0.2</v>
      </c>
      <c r="O20" s="3"/>
      <c r="P20" s="3"/>
      <c r="Q20" s="3"/>
      <c r="R20" s="5"/>
      <c r="S20" s="3" t="s">
        <v>26</v>
      </c>
      <c r="T20" s="3">
        <v>0.4</v>
      </c>
      <c r="U20" s="3"/>
      <c r="V20" s="3" t="s">
        <v>53</v>
      </c>
      <c r="W20" s="3">
        <f>DOPut(T15,T16,T17,T18,T19,T21,T23)</f>
        <v>2.7294493814821159</v>
      </c>
      <c r="X20" s="5"/>
    </row>
    <row r="21" spans="1:24" x14ac:dyDescent="0.3">
      <c r="A21" s="3" t="s">
        <v>27</v>
      </c>
      <c r="B21" s="3">
        <v>40</v>
      </c>
      <c r="F21" s="7"/>
      <c r="G21" s="3" t="s">
        <v>24</v>
      </c>
      <c r="H21" s="3">
        <v>40</v>
      </c>
      <c r="I21" s="3"/>
      <c r="J21" s="3"/>
      <c r="K21" s="3"/>
      <c r="L21" s="5"/>
      <c r="M21" s="3" t="s">
        <v>23</v>
      </c>
      <c r="N21" s="3">
        <v>0.4</v>
      </c>
      <c r="O21" s="3"/>
      <c r="P21" s="3"/>
      <c r="Q21" s="3"/>
      <c r="R21" s="5"/>
      <c r="S21" s="3" t="s">
        <v>54</v>
      </c>
      <c r="T21" s="3">
        <v>0.3</v>
      </c>
      <c r="U21" s="3"/>
      <c r="V21" s="3"/>
      <c r="W21" s="3"/>
      <c r="X21" s="5"/>
    </row>
    <row r="22" spans="1:24" x14ac:dyDescent="0.3">
      <c r="A22" s="3" t="s">
        <v>25</v>
      </c>
      <c r="B22" s="3">
        <v>35</v>
      </c>
      <c r="F22" s="7"/>
      <c r="G22" s="3" t="s">
        <v>25</v>
      </c>
      <c r="H22" s="3">
        <f>40*EXP(-0.5826*0.4*SQRT(1/12/30))</f>
        <v>39.511713319492323</v>
      </c>
      <c r="I22" s="3"/>
      <c r="J22" s="3"/>
      <c r="K22" s="3"/>
      <c r="L22" s="5"/>
      <c r="M22" s="3" t="s">
        <v>24</v>
      </c>
      <c r="N22" s="3">
        <v>90</v>
      </c>
      <c r="O22" s="3"/>
      <c r="P22" s="3"/>
      <c r="Q22" s="3"/>
      <c r="R22" s="5"/>
      <c r="S22" s="3" t="s">
        <v>55</v>
      </c>
      <c r="T22" s="3">
        <v>40</v>
      </c>
      <c r="U22" s="3"/>
      <c r="V22" s="3"/>
      <c r="W22" s="3"/>
      <c r="X22" s="5"/>
    </row>
    <row r="23" spans="1:24" x14ac:dyDescent="0.3">
      <c r="A23" s="3" t="s">
        <v>28</v>
      </c>
      <c r="B23" s="3">
        <v>30</v>
      </c>
      <c r="F23" s="7"/>
      <c r="G23" s="3" t="s">
        <v>19</v>
      </c>
      <c r="H23" s="3">
        <v>30</v>
      </c>
      <c r="I23" s="3"/>
      <c r="J23" s="3"/>
      <c r="K23" s="3"/>
      <c r="L23" s="5"/>
      <c r="M23" s="3" t="s">
        <v>46</v>
      </c>
      <c r="N23" s="3">
        <v>70</v>
      </c>
      <c r="O23" s="3"/>
      <c r="P23" s="3"/>
      <c r="Q23" s="3"/>
      <c r="R23" s="5"/>
      <c r="S23" s="3" t="s">
        <v>46</v>
      </c>
      <c r="T23" s="3">
        <v>30</v>
      </c>
      <c r="U23" s="3"/>
      <c r="V23" s="3"/>
      <c r="W23" s="3"/>
      <c r="X23" s="5"/>
    </row>
    <row r="24" spans="1:24" x14ac:dyDescent="0.3">
      <c r="A24" s="3" t="s">
        <v>29</v>
      </c>
      <c r="B24" s="3">
        <v>1</v>
      </c>
      <c r="F24" s="7"/>
      <c r="G24" s="3" t="s">
        <v>29</v>
      </c>
      <c r="H24" s="3">
        <f>30*EXP(-0.5826*0.4*SQRT(1/12/30))</f>
        <v>29.63378498961924</v>
      </c>
      <c r="I24" s="3"/>
      <c r="J24" s="3"/>
      <c r="K24" s="3"/>
      <c r="L24" s="5"/>
      <c r="R24" s="5"/>
      <c r="X24" s="5"/>
    </row>
    <row r="25" spans="1:24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</sheetData>
  <mergeCells count="6">
    <mergeCell ref="A14:K14"/>
    <mergeCell ref="F15:F25"/>
    <mergeCell ref="A25:E25"/>
    <mergeCell ref="G25:K25"/>
    <mergeCell ref="L14:S14"/>
    <mergeCell ref="M25:X25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358"/>
  <sheetViews>
    <sheetView tabSelected="1" workbookViewId="0">
      <selection activeCell="J7" sqref="J7"/>
    </sheetView>
  </sheetViews>
  <sheetFormatPr defaultRowHeight="16.2" x14ac:dyDescent="0.3"/>
  <cols>
    <col min="1" max="4" width="8.88671875" style="3"/>
    <col min="5" max="5" width="10" style="3" bestFit="1" customWidth="1"/>
    <col min="6" max="6" width="8.88671875" style="3"/>
    <col min="7" max="9" width="9.6640625" style="3" bestFit="1" customWidth="1"/>
    <col min="10" max="16384" width="8.88671875" style="3"/>
  </cols>
  <sheetData>
    <row r="1" spans="1:8" x14ac:dyDescent="0.3">
      <c r="A1" s="3" t="s">
        <v>20</v>
      </c>
      <c r="B1" s="3">
        <v>6</v>
      </c>
      <c r="G1" s="3" t="s">
        <v>20</v>
      </c>
      <c r="H1" s="3">
        <v>6</v>
      </c>
    </row>
    <row r="2" spans="1:8" x14ac:dyDescent="0.3">
      <c r="A2" s="3" t="s">
        <v>59</v>
      </c>
      <c r="B2" s="3">
        <v>6.12</v>
      </c>
      <c r="G2" s="3" t="s">
        <v>59</v>
      </c>
      <c r="H2" s="8">
        <v>6.8605130365409188</v>
      </c>
    </row>
    <row r="3" spans="1:8" x14ac:dyDescent="0.3">
      <c r="A3" s="3" t="s">
        <v>61</v>
      </c>
      <c r="B3" s="3">
        <v>6.18</v>
      </c>
      <c r="G3" s="3" t="s">
        <v>61</v>
      </c>
      <c r="H3" s="8">
        <v>6.18</v>
      </c>
    </row>
    <row r="4" spans="1:8" x14ac:dyDescent="0.3">
      <c r="G4" s="3" t="s">
        <v>17</v>
      </c>
      <c r="H4" s="3">
        <v>0.1</v>
      </c>
    </row>
    <row r="5" spans="1:8" x14ac:dyDescent="0.3">
      <c r="G5" s="3" t="s">
        <v>65</v>
      </c>
      <c r="H5" s="3">
        <v>0</v>
      </c>
    </row>
    <row r="6" spans="1:8" x14ac:dyDescent="0.3">
      <c r="G6" s="3" t="s">
        <v>66</v>
      </c>
      <c r="H6" s="3">
        <v>0.5</v>
      </c>
    </row>
    <row r="7" spans="1:8" x14ac:dyDescent="0.3">
      <c r="A7" s="3" t="s">
        <v>58</v>
      </c>
      <c r="B7" s="3" t="s">
        <v>60</v>
      </c>
      <c r="C7" s="3" t="s">
        <v>62</v>
      </c>
      <c r="D7" s="3" t="s">
        <v>63</v>
      </c>
      <c r="E7" s="3" t="s">
        <v>64</v>
      </c>
      <c r="G7" s="3" t="s">
        <v>67</v>
      </c>
      <c r="H7" s="3">
        <v>0.4</v>
      </c>
    </row>
    <row r="8" spans="1:8" x14ac:dyDescent="0.3">
      <c r="A8" s="3">
        <v>6</v>
      </c>
      <c r="B8" s="3">
        <f>MAX($B$2-A8,0)</f>
        <v>0.12000000000000011</v>
      </c>
      <c r="C8" s="3">
        <f>MAX(A8-$B$3,0)*(-1)</f>
        <v>0</v>
      </c>
      <c r="D8" s="3">
        <f>IF(A8&gt;6.18,0.06,0)*(-2)</f>
        <v>0</v>
      </c>
      <c r="E8" s="3">
        <f>SUM(B8:D8)</f>
        <v>0.12000000000000011</v>
      </c>
    </row>
    <row r="9" spans="1:8" x14ac:dyDescent="0.3">
      <c r="A9" s="3">
        <v>6.0010000000000003</v>
      </c>
      <c r="B9" s="3">
        <f t="shared" ref="B9:B72" si="0">MAX($B$2-A9,0)</f>
        <v>0.11899999999999977</v>
      </c>
      <c r="C9" s="3">
        <f t="shared" ref="C9:C72" si="1">MAX(A9-$B$3,0)*(-1)</f>
        <v>0</v>
      </c>
      <c r="D9" s="3">
        <f t="shared" ref="D9:D72" si="2">IF(A9&gt;6.18,0.06,0)*(-2)</f>
        <v>0</v>
      </c>
      <c r="E9" s="3">
        <f t="shared" ref="E9:E72" si="3">SUM(B9:D9)</f>
        <v>0.11899999999999977</v>
      </c>
      <c r="G9" s="3" t="s">
        <v>68</v>
      </c>
      <c r="H9" s="3">
        <f>BSOptionValue(-1,$H$1,$H$2,$H$4,$H$5,$H$6,$H$7)-2*BSOptionValue(1,$H$1,$H$2,$H$4,$H$5,$H$6,$H$7)-2*CashorNothing(1,H1,H3,0.06,H4,H5,H6,H7)</f>
        <v>-1.9831593232988443E-5</v>
      </c>
    </row>
    <row r="10" spans="1:8" x14ac:dyDescent="0.3">
      <c r="A10" s="3">
        <v>6.0019999999999998</v>
      </c>
      <c r="B10" s="3">
        <f t="shared" si="0"/>
        <v>0.11800000000000033</v>
      </c>
      <c r="C10" s="3">
        <f t="shared" si="1"/>
        <v>0</v>
      </c>
      <c r="D10" s="3">
        <f t="shared" si="2"/>
        <v>0</v>
      </c>
      <c r="E10" s="3">
        <f t="shared" si="3"/>
        <v>0.11800000000000033</v>
      </c>
    </row>
    <row r="11" spans="1:8" x14ac:dyDescent="0.3">
      <c r="A11" s="3">
        <v>6.0030000000000001</v>
      </c>
      <c r="B11" s="3">
        <f t="shared" si="0"/>
        <v>0.11699999999999999</v>
      </c>
      <c r="C11" s="3">
        <f t="shared" si="1"/>
        <v>0</v>
      </c>
      <c r="D11" s="3">
        <f t="shared" si="2"/>
        <v>0</v>
      </c>
      <c r="E11" s="3">
        <f t="shared" si="3"/>
        <v>0.11699999999999999</v>
      </c>
    </row>
    <row r="12" spans="1:8" x14ac:dyDescent="0.3">
      <c r="A12" s="3">
        <v>6.0039999999999996</v>
      </c>
      <c r="B12" s="3">
        <f t="shared" si="0"/>
        <v>0.11600000000000055</v>
      </c>
      <c r="C12" s="3">
        <f t="shared" si="1"/>
        <v>0</v>
      </c>
      <c r="D12" s="3">
        <f t="shared" si="2"/>
        <v>0</v>
      </c>
      <c r="E12" s="3">
        <f t="shared" si="3"/>
        <v>0.11600000000000055</v>
      </c>
    </row>
    <row r="13" spans="1:8" x14ac:dyDescent="0.3">
      <c r="A13" s="3">
        <v>6.0049999999999999</v>
      </c>
      <c r="B13" s="3">
        <f t="shared" si="0"/>
        <v>0.11500000000000021</v>
      </c>
      <c r="C13" s="3">
        <f t="shared" si="1"/>
        <v>0</v>
      </c>
      <c r="D13" s="3">
        <f t="shared" si="2"/>
        <v>0</v>
      </c>
      <c r="E13" s="3">
        <f t="shared" si="3"/>
        <v>0.11500000000000021</v>
      </c>
    </row>
    <row r="14" spans="1:8" x14ac:dyDescent="0.3">
      <c r="A14" s="3">
        <v>6.0060000000000002</v>
      </c>
      <c r="B14" s="3">
        <f t="shared" si="0"/>
        <v>0.11399999999999988</v>
      </c>
      <c r="C14" s="3">
        <f t="shared" si="1"/>
        <v>0</v>
      </c>
      <c r="D14" s="3">
        <f t="shared" si="2"/>
        <v>0</v>
      </c>
      <c r="E14" s="3">
        <f t="shared" si="3"/>
        <v>0.11399999999999988</v>
      </c>
    </row>
    <row r="15" spans="1:8" x14ac:dyDescent="0.3">
      <c r="A15" s="3">
        <v>6.0069999999999997</v>
      </c>
      <c r="B15" s="3">
        <f t="shared" si="0"/>
        <v>0.11300000000000043</v>
      </c>
      <c r="C15" s="3">
        <f t="shared" si="1"/>
        <v>0</v>
      </c>
      <c r="D15" s="3">
        <f t="shared" si="2"/>
        <v>0</v>
      </c>
      <c r="E15" s="3">
        <f t="shared" si="3"/>
        <v>0.11300000000000043</v>
      </c>
    </row>
    <row r="16" spans="1:8" x14ac:dyDescent="0.3">
      <c r="A16" s="3">
        <v>6.008</v>
      </c>
      <c r="B16" s="3">
        <f t="shared" si="0"/>
        <v>0.1120000000000001</v>
      </c>
      <c r="C16" s="3">
        <f t="shared" si="1"/>
        <v>0</v>
      </c>
      <c r="D16" s="3">
        <f t="shared" si="2"/>
        <v>0</v>
      </c>
      <c r="E16" s="3">
        <f t="shared" si="3"/>
        <v>0.1120000000000001</v>
      </c>
    </row>
    <row r="17" spans="1:5" x14ac:dyDescent="0.3">
      <c r="A17" s="3">
        <v>6.0090000000000003</v>
      </c>
      <c r="B17" s="3">
        <f t="shared" si="0"/>
        <v>0.11099999999999977</v>
      </c>
      <c r="C17" s="3">
        <f t="shared" si="1"/>
        <v>0</v>
      </c>
      <c r="D17" s="3">
        <f t="shared" si="2"/>
        <v>0</v>
      </c>
      <c r="E17" s="3">
        <f t="shared" si="3"/>
        <v>0.11099999999999977</v>
      </c>
    </row>
    <row r="18" spans="1:5" x14ac:dyDescent="0.3">
      <c r="A18" s="3">
        <v>6.01</v>
      </c>
      <c r="B18" s="3">
        <f t="shared" si="0"/>
        <v>0.11000000000000032</v>
      </c>
      <c r="C18" s="3">
        <f t="shared" si="1"/>
        <v>0</v>
      </c>
      <c r="D18" s="3">
        <f t="shared" si="2"/>
        <v>0</v>
      </c>
      <c r="E18" s="3">
        <f t="shared" si="3"/>
        <v>0.11000000000000032</v>
      </c>
    </row>
    <row r="19" spans="1:5" x14ac:dyDescent="0.3">
      <c r="A19" s="3">
        <v>6.0110000000000001</v>
      </c>
      <c r="B19" s="3">
        <f t="shared" si="0"/>
        <v>0.10899999999999999</v>
      </c>
      <c r="C19" s="3">
        <f t="shared" si="1"/>
        <v>0</v>
      </c>
      <c r="D19" s="3">
        <f t="shared" si="2"/>
        <v>0</v>
      </c>
      <c r="E19" s="3">
        <f t="shared" si="3"/>
        <v>0.10899999999999999</v>
      </c>
    </row>
    <row r="20" spans="1:5" x14ac:dyDescent="0.3">
      <c r="A20" s="3">
        <v>6.0119999999999996</v>
      </c>
      <c r="B20" s="3">
        <f t="shared" si="0"/>
        <v>0.10800000000000054</v>
      </c>
      <c r="C20" s="3">
        <f t="shared" si="1"/>
        <v>0</v>
      </c>
      <c r="D20" s="3">
        <f t="shared" si="2"/>
        <v>0</v>
      </c>
      <c r="E20" s="3">
        <f t="shared" si="3"/>
        <v>0.10800000000000054</v>
      </c>
    </row>
    <row r="21" spans="1:5" x14ac:dyDescent="0.3">
      <c r="A21" s="3">
        <v>6.0129999999999999</v>
      </c>
      <c r="B21" s="3">
        <f t="shared" si="0"/>
        <v>0.10700000000000021</v>
      </c>
      <c r="C21" s="3">
        <f t="shared" si="1"/>
        <v>0</v>
      </c>
      <c r="D21" s="3">
        <f t="shared" si="2"/>
        <v>0</v>
      </c>
      <c r="E21" s="3">
        <f t="shared" si="3"/>
        <v>0.10700000000000021</v>
      </c>
    </row>
    <row r="22" spans="1:5" x14ac:dyDescent="0.3">
      <c r="A22" s="3">
        <v>6.0140000000000002</v>
      </c>
      <c r="B22" s="3">
        <f t="shared" si="0"/>
        <v>0.10599999999999987</v>
      </c>
      <c r="C22" s="3">
        <f t="shared" si="1"/>
        <v>0</v>
      </c>
      <c r="D22" s="3">
        <f t="shared" si="2"/>
        <v>0</v>
      </c>
      <c r="E22" s="3">
        <f t="shared" si="3"/>
        <v>0.10599999999999987</v>
      </c>
    </row>
    <row r="23" spans="1:5" x14ac:dyDescent="0.3">
      <c r="A23" s="3">
        <v>6.0150000000000103</v>
      </c>
      <c r="B23" s="3">
        <f t="shared" si="0"/>
        <v>0.10499999999998977</v>
      </c>
      <c r="C23" s="3">
        <f t="shared" si="1"/>
        <v>0</v>
      </c>
      <c r="D23" s="3">
        <f t="shared" si="2"/>
        <v>0</v>
      </c>
      <c r="E23" s="3">
        <f t="shared" si="3"/>
        <v>0.10499999999998977</v>
      </c>
    </row>
    <row r="24" spans="1:5" x14ac:dyDescent="0.3">
      <c r="A24" s="3">
        <v>6.0160000000000098</v>
      </c>
      <c r="B24" s="3">
        <f t="shared" si="0"/>
        <v>0.10399999999999032</v>
      </c>
      <c r="C24" s="3">
        <f t="shared" si="1"/>
        <v>0</v>
      </c>
      <c r="D24" s="3">
        <f t="shared" si="2"/>
        <v>0</v>
      </c>
      <c r="E24" s="3">
        <f t="shared" si="3"/>
        <v>0.10399999999999032</v>
      </c>
    </row>
    <row r="25" spans="1:5" x14ac:dyDescent="0.3">
      <c r="A25" s="3">
        <v>6.0170000000000101</v>
      </c>
      <c r="B25" s="3">
        <f t="shared" si="0"/>
        <v>0.10299999999998999</v>
      </c>
      <c r="C25" s="3">
        <f t="shared" si="1"/>
        <v>0</v>
      </c>
      <c r="D25" s="3">
        <f t="shared" si="2"/>
        <v>0</v>
      </c>
      <c r="E25" s="3">
        <f t="shared" si="3"/>
        <v>0.10299999999998999</v>
      </c>
    </row>
    <row r="26" spans="1:5" x14ac:dyDescent="0.3">
      <c r="A26" s="3">
        <v>6.0180000000000096</v>
      </c>
      <c r="B26" s="3">
        <f t="shared" si="0"/>
        <v>0.10199999999999054</v>
      </c>
      <c r="C26" s="3">
        <f t="shared" si="1"/>
        <v>0</v>
      </c>
      <c r="D26" s="3">
        <f t="shared" si="2"/>
        <v>0</v>
      </c>
      <c r="E26" s="3">
        <f t="shared" si="3"/>
        <v>0.10199999999999054</v>
      </c>
    </row>
    <row r="27" spans="1:5" x14ac:dyDescent="0.3">
      <c r="A27" s="3">
        <v>6.0190000000000099</v>
      </c>
      <c r="B27" s="3">
        <f t="shared" si="0"/>
        <v>0.10099999999999021</v>
      </c>
      <c r="C27" s="3">
        <f t="shared" si="1"/>
        <v>0</v>
      </c>
      <c r="D27" s="3">
        <f t="shared" si="2"/>
        <v>0</v>
      </c>
      <c r="E27" s="3">
        <f t="shared" si="3"/>
        <v>0.10099999999999021</v>
      </c>
    </row>
    <row r="28" spans="1:5" x14ac:dyDescent="0.3">
      <c r="A28" s="3">
        <v>6.0200000000000102</v>
      </c>
      <c r="B28" s="3">
        <f t="shared" si="0"/>
        <v>9.9999999999989875E-2</v>
      </c>
      <c r="C28" s="3">
        <f t="shared" si="1"/>
        <v>0</v>
      </c>
      <c r="D28" s="3">
        <f t="shared" si="2"/>
        <v>0</v>
      </c>
      <c r="E28" s="3">
        <f t="shared" si="3"/>
        <v>9.9999999999989875E-2</v>
      </c>
    </row>
    <row r="29" spans="1:5" x14ac:dyDescent="0.3">
      <c r="A29" s="3">
        <v>6.0210000000000097</v>
      </c>
      <c r="B29" s="3">
        <f t="shared" si="0"/>
        <v>9.8999999999990429E-2</v>
      </c>
      <c r="C29" s="3">
        <f t="shared" si="1"/>
        <v>0</v>
      </c>
      <c r="D29" s="3">
        <f t="shared" si="2"/>
        <v>0</v>
      </c>
      <c r="E29" s="3">
        <f t="shared" si="3"/>
        <v>9.8999999999990429E-2</v>
      </c>
    </row>
    <row r="30" spans="1:5" x14ac:dyDescent="0.3">
      <c r="A30" s="3">
        <v>6.02200000000001</v>
      </c>
      <c r="B30" s="3">
        <f t="shared" si="0"/>
        <v>9.7999999999990095E-2</v>
      </c>
      <c r="C30" s="3">
        <f t="shared" si="1"/>
        <v>0</v>
      </c>
      <c r="D30" s="3">
        <f t="shared" si="2"/>
        <v>0</v>
      </c>
      <c r="E30" s="3">
        <f t="shared" si="3"/>
        <v>9.7999999999990095E-2</v>
      </c>
    </row>
    <row r="31" spans="1:5" x14ac:dyDescent="0.3">
      <c r="A31" s="3">
        <v>6.0230000000000103</v>
      </c>
      <c r="B31" s="3">
        <f t="shared" si="0"/>
        <v>9.6999999999989761E-2</v>
      </c>
      <c r="C31" s="3">
        <f t="shared" si="1"/>
        <v>0</v>
      </c>
      <c r="D31" s="3">
        <f t="shared" si="2"/>
        <v>0</v>
      </c>
      <c r="E31" s="3">
        <f t="shared" si="3"/>
        <v>9.6999999999989761E-2</v>
      </c>
    </row>
    <row r="32" spans="1:5" x14ac:dyDescent="0.3">
      <c r="A32" s="3">
        <v>6.0240000000000098</v>
      </c>
      <c r="B32" s="3">
        <f t="shared" si="0"/>
        <v>9.5999999999990315E-2</v>
      </c>
      <c r="C32" s="3">
        <f t="shared" si="1"/>
        <v>0</v>
      </c>
      <c r="D32" s="3">
        <f t="shared" si="2"/>
        <v>0</v>
      </c>
      <c r="E32" s="3">
        <f t="shared" si="3"/>
        <v>9.5999999999990315E-2</v>
      </c>
    </row>
    <row r="33" spans="1:5" x14ac:dyDescent="0.3">
      <c r="A33" s="3">
        <v>6.0250000000000101</v>
      </c>
      <c r="B33" s="3">
        <f t="shared" si="0"/>
        <v>9.4999999999989981E-2</v>
      </c>
      <c r="C33" s="3">
        <f t="shared" si="1"/>
        <v>0</v>
      </c>
      <c r="D33" s="3">
        <f t="shared" si="2"/>
        <v>0</v>
      </c>
      <c r="E33" s="3">
        <f t="shared" si="3"/>
        <v>9.4999999999989981E-2</v>
      </c>
    </row>
    <row r="34" spans="1:5" x14ac:dyDescent="0.3">
      <c r="A34" s="3">
        <v>6.0260000000000096</v>
      </c>
      <c r="B34" s="3">
        <f t="shared" si="0"/>
        <v>9.3999999999990536E-2</v>
      </c>
      <c r="C34" s="3">
        <f t="shared" si="1"/>
        <v>0</v>
      </c>
      <c r="D34" s="3">
        <f t="shared" si="2"/>
        <v>0</v>
      </c>
      <c r="E34" s="3">
        <f t="shared" si="3"/>
        <v>9.3999999999990536E-2</v>
      </c>
    </row>
    <row r="35" spans="1:5" x14ac:dyDescent="0.3">
      <c r="A35" s="3">
        <v>6.0270000000000099</v>
      </c>
      <c r="B35" s="3">
        <f t="shared" si="0"/>
        <v>9.2999999999990202E-2</v>
      </c>
      <c r="C35" s="3">
        <f t="shared" si="1"/>
        <v>0</v>
      </c>
      <c r="D35" s="3">
        <f t="shared" si="2"/>
        <v>0</v>
      </c>
      <c r="E35" s="3">
        <f t="shared" si="3"/>
        <v>9.2999999999990202E-2</v>
      </c>
    </row>
    <row r="36" spans="1:5" x14ac:dyDescent="0.3">
      <c r="A36" s="3">
        <v>6.0280000000000102</v>
      </c>
      <c r="B36" s="3">
        <f t="shared" si="0"/>
        <v>9.1999999999989868E-2</v>
      </c>
      <c r="C36" s="3">
        <f t="shared" si="1"/>
        <v>0</v>
      </c>
      <c r="D36" s="3">
        <f t="shared" si="2"/>
        <v>0</v>
      </c>
      <c r="E36" s="3">
        <f t="shared" si="3"/>
        <v>9.1999999999989868E-2</v>
      </c>
    </row>
    <row r="37" spans="1:5" x14ac:dyDescent="0.3">
      <c r="A37" s="3">
        <v>6.0290000000000097</v>
      </c>
      <c r="B37" s="3">
        <f t="shared" si="0"/>
        <v>9.0999999999990422E-2</v>
      </c>
      <c r="C37" s="3">
        <f t="shared" si="1"/>
        <v>0</v>
      </c>
      <c r="D37" s="3">
        <f t="shared" si="2"/>
        <v>0</v>
      </c>
      <c r="E37" s="3">
        <f t="shared" si="3"/>
        <v>9.0999999999990422E-2</v>
      </c>
    </row>
    <row r="38" spans="1:5" x14ac:dyDescent="0.3">
      <c r="A38" s="3">
        <v>6.03000000000001</v>
      </c>
      <c r="B38" s="3">
        <f t="shared" si="0"/>
        <v>8.9999999999990088E-2</v>
      </c>
      <c r="C38" s="3">
        <f t="shared" si="1"/>
        <v>0</v>
      </c>
      <c r="D38" s="3">
        <f t="shared" si="2"/>
        <v>0</v>
      </c>
      <c r="E38" s="3">
        <f t="shared" si="3"/>
        <v>8.9999999999990088E-2</v>
      </c>
    </row>
    <row r="39" spans="1:5" x14ac:dyDescent="0.3">
      <c r="A39" s="3">
        <v>6.0310000000000104</v>
      </c>
      <c r="B39" s="3">
        <f t="shared" si="0"/>
        <v>8.8999999999989754E-2</v>
      </c>
      <c r="C39" s="3">
        <f t="shared" si="1"/>
        <v>0</v>
      </c>
      <c r="D39" s="3">
        <f t="shared" si="2"/>
        <v>0</v>
      </c>
      <c r="E39" s="3">
        <f t="shared" si="3"/>
        <v>8.8999999999989754E-2</v>
      </c>
    </row>
    <row r="40" spans="1:5" x14ac:dyDescent="0.3">
      <c r="A40" s="3">
        <v>6.0320000000000098</v>
      </c>
      <c r="B40" s="3">
        <f t="shared" si="0"/>
        <v>8.7999999999990308E-2</v>
      </c>
      <c r="C40" s="3">
        <f t="shared" si="1"/>
        <v>0</v>
      </c>
      <c r="D40" s="3">
        <f t="shared" si="2"/>
        <v>0</v>
      </c>
      <c r="E40" s="3">
        <f t="shared" si="3"/>
        <v>8.7999999999990308E-2</v>
      </c>
    </row>
    <row r="41" spans="1:5" x14ac:dyDescent="0.3">
      <c r="A41" s="3">
        <v>6.0330000000000101</v>
      </c>
      <c r="B41" s="3">
        <f t="shared" si="0"/>
        <v>8.6999999999989974E-2</v>
      </c>
      <c r="C41" s="3">
        <f t="shared" si="1"/>
        <v>0</v>
      </c>
      <c r="D41" s="3">
        <f t="shared" si="2"/>
        <v>0</v>
      </c>
      <c r="E41" s="3">
        <f t="shared" si="3"/>
        <v>8.6999999999989974E-2</v>
      </c>
    </row>
    <row r="42" spans="1:5" x14ac:dyDescent="0.3">
      <c r="A42" s="3">
        <v>6.0340000000000096</v>
      </c>
      <c r="B42" s="3">
        <f t="shared" si="0"/>
        <v>8.5999999999990528E-2</v>
      </c>
      <c r="C42" s="3">
        <f t="shared" si="1"/>
        <v>0</v>
      </c>
      <c r="D42" s="3">
        <f t="shared" si="2"/>
        <v>0</v>
      </c>
      <c r="E42" s="3">
        <f t="shared" si="3"/>
        <v>8.5999999999990528E-2</v>
      </c>
    </row>
    <row r="43" spans="1:5" x14ac:dyDescent="0.3">
      <c r="A43" s="3">
        <v>6.0350000000000099</v>
      </c>
      <c r="B43" s="3">
        <f t="shared" si="0"/>
        <v>8.4999999999990195E-2</v>
      </c>
      <c r="C43" s="3">
        <f t="shared" si="1"/>
        <v>0</v>
      </c>
      <c r="D43" s="3">
        <f t="shared" si="2"/>
        <v>0</v>
      </c>
      <c r="E43" s="3">
        <f t="shared" si="3"/>
        <v>8.4999999999990195E-2</v>
      </c>
    </row>
    <row r="44" spans="1:5" x14ac:dyDescent="0.3">
      <c r="A44" s="3">
        <v>6.0360000000000102</v>
      </c>
      <c r="B44" s="3">
        <f t="shared" si="0"/>
        <v>8.3999999999989861E-2</v>
      </c>
      <c r="C44" s="3">
        <f t="shared" si="1"/>
        <v>0</v>
      </c>
      <c r="D44" s="3">
        <f t="shared" si="2"/>
        <v>0</v>
      </c>
      <c r="E44" s="3">
        <f t="shared" si="3"/>
        <v>8.3999999999989861E-2</v>
      </c>
    </row>
    <row r="45" spans="1:5" x14ac:dyDescent="0.3">
      <c r="A45" s="3">
        <v>6.0370000000000097</v>
      </c>
      <c r="B45" s="3">
        <f t="shared" si="0"/>
        <v>8.2999999999990415E-2</v>
      </c>
      <c r="C45" s="3">
        <f t="shared" si="1"/>
        <v>0</v>
      </c>
      <c r="D45" s="3">
        <f t="shared" si="2"/>
        <v>0</v>
      </c>
      <c r="E45" s="3">
        <f t="shared" si="3"/>
        <v>8.2999999999990415E-2</v>
      </c>
    </row>
    <row r="46" spans="1:5" x14ac:dyDescent="0.3">
      <c r="A46" s="3">
        <v>6.03800000000001</v>
      </c>
      <c r="B46" s="3">
        <f t="shared" si="0"/>
        <v>8.1999999999990081E-2</v>
      </c>
      <c r="C46" s="3">
        <f t="shared" si="1"/>
        <v>0</v>
      </c>
      <c r="D46" s="3">
        <f t="shared" si="2"/>
        <v>0</v>
      </c>
      <c r="E46" s="3">
        <f t="shared" si="3"/>
        <v>8.1999999999990081E-2</v>
      </c>
    </row>
    <row r="47" spans="1:5" x14ac:dyDescent="0.3">
      <c r="A47" s="3">
        <v>6.0390000000000104</v>
      </c>
      <c r="B47" s="3">
        <f t="shared" si="0"/>
        <v>8.0999999999989747E-2</v>
      </c>
      <c r="C47" s="3">
        <f t="shared" si="1"/>
        <v>0</v>
      </c>
      <c r="D47" s="3">
        <f t="shared" si="2"/>
        <v>0</v>
      </c>
      <c r="E47" s="3">
        <f t="shared" si="3"/>
        <v>8.0999999999989747E-2</v>
      </c>
    </row>
    <row r="48" spans="1:5" x14ac:dyDescent="0.3">
      <c r="A48" s="3">
        <v>6.0400000000000098</v>
      </c>
      <c r="B48" s="3">
        <f t="shared" si="0"/>
        <v>7.9999999999990301E-2</v>
      </c>
      <c r="C48" s="3">
        <f t="shared" si="1"/>
        <v>0</v>
      </c>
      <c r="D48" s="3">
        <f t="shared" si="2"/>
        <v>0</v>
      </c>
      <c r="E48" s="3">
        <f t="shared" si="3"/>
        <v>7.9999999999990301E-2</v>
      </c>
    </row>
    <row r="49" spans="1:5" x14ac:dyDescent="0.3">
      <c r="A49" s="3">
        <v>6.0410000000000101</v>
      </c>
      <c r="B49" s="3">
        <f t="shared" si="0"/>
        <v>7.8999999999989967E-2</v>
      </c>
      <c r="C49" s="3">
        <f t="shared" si="1"/>
        <v>0</v>
      </c>
      <c r="D49" s="3">
        <f t="shared" si="2"/>
        <v>0</v>
      </c>
      <c r="E49" s="3">
        <f t="shared" si="3"/>
        <v>7.8999999999989967E-2</v>
      </c>
    </row>
    <row r="50" spans="1:5" x14ac:dyDescent="0.3">
      <c r="A50" s="3">
        <v>6.0420000000000096</v>
      </c>
      <c r="B50" s="3">
        <f t="shared" si="0"/>
        <v>7.7999999999990521E-2</v>
      </c>
      <c r="C50" s="3">
        <f t="shared" si="1"/>
        <v>0</v>
      </c>
      <c r="D50" s="3">
        <f t="shared" si="2"/>
        <v>0</v>
      </c>
      <c r="E50" s="3">
        <f t="shared" si="3"/>
        <v>7.7999999999990521E-2</v>
      </c>
    </row>
    <row r="51" spans="1:5" x14ac:dyDescent="0.3">
      <c r="A51" s="3">
        <v>6.0430000000000099</v>
      </c>
      <c r="B51" s="3">
        <f t="shared" si="0"/>
        <v>7.6999999999990187E-2</v>
      </c>
      <c r="C51" s="3">
        <f t="shared" si="1"/>
        <v>0</v>
      </c>
      <c r="D51" s="3">
        <f t="shared" si="2"/>
        <v>0</v>
      </c>
      <c r="E51" s="3">
        <f t="shared" si="3"/>
        <v>7.6999999999990187E-2</v>
      </c>
    </row>
    <row r="52" spans="1:5" x14ac:dyDescent="0.3">
      <c r="A52" s="3">
        <v>6.0440000000000103</v>
      </c>
      <c r="B52" s="3">
        <f t="shared" si="0"/>
        <v>7.5999999999989853E-2</v>
      </c>
      <c r="C52" s="3">
        <f t="shared" si="1"/>
        <v>0</v>
      </c>
      <c r="D52" s="3">
        <f t="shared" si="2"/>
        <v>0</v>
      </c>
      <c r="E52" s="3">
        <f t="shared" si="3"/>
        <v>7.5999999999989853E-2</v>
      </c>
    </row>
    <row r="53" spans="1:5" x14ac:dyDescent="0.3">
      <c r="A53" s="3">
        <v>6.0450000000000204</v>
      </c>
      <c r="B53" s="3">
        <f t="shared" si="0"/>
        <v>7.499999999997975E-2</v>
      </c>
      <c r="C53" s="3">
        <f t="shared" si="1"/>
        <v>0</v>
      </c>
      <c r="D53" s="3">
        <f t="shared" si="2"/>
        <v>0</v>
      </c>
      <c r="E53" s="3">
        <f t="shared" si="3"/>
        <v>7.499999999997975E-2</v>
      </c>
    </row>
    <row r="54" spans="1:5" x14ac:dyDescent="0.3">
      <c r="A54" s="3">
        <v>6.0460000000000198</v>
      </c>
      <c r="B54" s="3">
        <f t="shared" si="0"/>
        <v>7.3999999999980304E-2</v>
      </c>
      <c r="C54" s="3">
        <f t="shared" si="1"/>
        <v>0</v>
      </c>
      <c r="D54" s="3">
        <f t="shared" si="2"/>
        <v>0</v>
      </c>
      <c r="E54" s="3">
        <f t="shared" si="3"/>
        <v>7.3999999999980304E-2</v>
      </c>
    </row>
    <row r="55" spans="1:5" x14ac:dyDescent="0.3">
      <c r="A55" s="3">
        <v>6.0470000000000201</v>
      </c>
      <c r="B55" s="3">
        <f t="shared" si="0"/>
        <v>7.299999999997997E-2</v>
      </c>
      <c r="C55" s="3">
        <f t="shared" si="1"/>
        <v>0</v>
      </c>
      <c r="D55" s="3">
        <f t="shared" si="2"/>
        <v>0</v>
      </c>
      <c r="E55" s="3">
        <f t="shared" si="3"/>
        <v>7.299999999997997E-2</v>
      </c>
    </row>
    <row r="56" spans="1:5" x14ac:dyDescent="0.3">
      <c r="A56" s="3">
        <v>6.0480000000000196</v>
      </c>
      <c r="B56" s="3">
        <f t="shared" si="0"/>
        <v>7.1999999999980524E-2</v>
      </c>
      <c r="C56" s="3">
        <f t="shared" si="1"/>
        <v>0</v>
      </c>
      <c r="D56" s="3">
        <f t="shared" si="2"/>
        <v>0</v>
      </c>
      <c r="E56" s="3">
        <f t="shared" si="3"/>
        <v>7.1999999999980524E-2</v>
      </c>
    </row>
    <row r="57" spans="1:5" x14ac:dyDescent="0.3">
      <c r="A57" s="3">
        <v>6.0490000000000199</v>
      </c>
      <c r="B57" s="3">
        <f t="shared" si="0"/>
        <v>7.099999999998019E-2</v>
      </c>
      <c r="C57" s="3">
        <f t="shared" si="1"/>
        <v>0</v>
      </c>
      <c r="D57" s="3">
        <f t="shared" si="2"/>
        <v>0</v>
      </c>
      <c r="E57" s="3">
        <f t="shared" si="3"/>
        <v>7.099999999998019E-2</v>
      </c>
    </row>
    <row r="58" spans="1:5" x14ac:dyDescent="0.3">
      <c r="A58" s="3">
        <v>6.0500000000000203</v>
      </c>
      <c r="B58" s="3">
        <f t="shared" si="0"/>
        <v>6.9999999999979856E-2</v>
      </c>
      <c r="C58" s="3">
        <f t="shared" si="1"/>
        <v>0</v>
      </c>
      <c r="D58" s="3">
        <f t="shared" si="2"/>
        <v>0</v>
      </c>
      <c r="E58" s="3">
        <f t="shared" si="3"/>
        <v>6.9999999999979856E-2</v>
      </c>
    </row>
    <row r="59" spans="1:5" x14ac:dyDescent="0.3">
      <c r="A59" s="3">
        <v>6.0510000000000197</v>
      </c>
      <c r="B59" s="3">
        <f t="shared" si="0"/>
        <v>6.899999999998041E-2</v>
      </c>
      <c r="C59" s="3">
        <f t="shared" si="1"/>
        <v>0</v>
      </c>
      <c r="D59" s="3">
        <f t="shared" si="2"/>
        <v>0</v>
      </c>
      <c r="E59" s="3">
        <f t="shared" si="3"/>
        <v>6.899999999998041E-2</v>
      </c>
    </row>
    <row r="60" spans="1:5" x14ac:dyDescent="0.3">
      <c r="A60" s="3">
        <v>6.05200000000002</v>
      </c>
      <c r="B60" s="3">
        <f t="shared" si="0"/>
        <v>6.7999999999980076E-2</v>
      </c>
      <c r="C60" s="3">
        <f t="shared" si="1"/>
        <v>0</v>
      </c>
      <c r="D60" s="3">
        <f t="shared" si="2"/>
        <v>0</v>
      </c>
      <c r="E60" s="3">
        <f t="shared" si="3"/>
        <v>6.7999999999980076E-2</v>
      </c>
    </row>
    <row r="61" spans="1:5" x14ac:dyDescent="0.3">
      <c r="A61" s="3">
        <v>6.0530000000000204</v>
      </c>
      <c r="B61" s="3">
        <f t="shared" si="0"/>
        <v>6.6999999999979742E-2</v>
      </c>
      <c r="C61" s="3">
        <f t="shared" si="1"/>
        <v>0</v>
      </c>
      <c r="D61" s="3">
        <f t="shared" si="2"/>
        <v>0</v>
      </c>
      <c r="E61" s="3">
        <f t="shared" si="3"/>
        <v>6.6999999999979742E-2</v>
      </c>
    </row>
    <row r="62" spans="1:5" x14ac:dyDescent="0.3">
      <c r="A62" s="3">
        <v>6.0540000000000198</v>
      </c>
      <c r="B62" s="3">
        <f t="shared" si="0"/>
        <v>6.5999999999980297E-2</v>
      </c>
      <c r="C62" s="3">
        <f t="shared" si="1"/>
        <v>0</v>
      </c>
      <c r="D62" s="3">
        <f t="shared" si="2"/>
        <v>0</v>
      </c>
      <c r="E62" s="3">
        <f t="shared" si="3"/>
        <v>6.5999999999980297E-2</v>
      </c>
    </row>
    <row r="63" spans="1:5" x14ac:dyDescent="0.3">
      <c r="A63" s="3">
        <v>6.0550000000000201</v>
      </c>
      <c r="B63" s="3">
        <f t="shared" si="0"/>
        <v>6.4999999999979963E-2</v>
      </c>
      <c r="C63" s="3">
        <f t="shared" si="1"/>
        <v>0</v>
      </c>
      <c r="D63" s="3">
        <f t="shared" si="2"/>
        <v>0</v>
      </c>
      <c r="E63" s="3">
        <f t="shared" si="3"/>
        <v>6.4999999999979963E-2</v>
      </c>
    </row>
    <row r="64" spans="1:5" x14ac:dyDescent="0.3">
      <c r="A64" s="3">
        <v>6.0560000000000196</v>
      </c>
      <c r="B64" s="3">
        <f t="shared" si="0"/>
        <v>6.3999999999980517E-2</v>
      </c>
      <c r="C64" s="3">
        <f t="shared" si="1"/>
        <v>0</v>
      </c>
      <c r="D64" s="3">
        <f t="shared" si="2"/>
        <v>0</v>
      </c>
      <c r="E64" s="3">
        <f t="shared" si="3"/>
        <v>6.3999999999980517E-2</v>
      </c>
    </row>
    <row r="65" spans="1:5" x14ac:dyDescent="0.3">
      <c r="A65" s="3">
        <v>6.0570000000000199</v>
      </c>
      <c r="B65" s="3">
        <f t="shared" si="0"/>
        <v>6.2999999999980183E-2</v>
      </c>
      <c r="C65" s="3">
        <f t="shared" si="1"/>
        <v>0</v>
      </c>
      <c r="D65" s="3">
        <f t="shared" si="2"/>
        <v>0</v>
      </c>
      <c r="E65" s="3">
        <f t="shared" si="3"/>
        <v>6.2999999999980183E-2</v>
      </c>
    </row>
    <row r="66" spans="1:5" x14ac:dyDescent="0.3">
      <c r="A66" s="3">
        <v>6.0580000000000203</v>
      </c>
      <c r="B66" s="3">
        <f t="shared" si="0"/>
        <v>6.1999999999979849E-2</v>
      </c>
      <c r="C66" s="3">
        <f t="shared" si="1"/>
        <v>0</v>
      </c>
      <c r="D66" s="3">
        <f t="shared" si="2"/>
        <v>0</v>
      </c>
      <c r="E66" s="3">
        <f t="shared" si="3"/>
        <v>6.1999999999979849E-2</v>
      </c>
    </row>
    <row r="67" spans="1:5" x14ac:dyDescent="0.3">
      <c r="A67" s="3">
        <v>6.0590000000000197</v>
      </c>
      <c r="B67" s="3">
        <f t="shared" si="0"/>
        <v>6.0999999999980403E-2</v>
      </c>
      <c r="C67" s="3">
        <f t="shared" si="1"/>
        <v>0</v>
      </c>
      <c r="D67" s="3">
        <f t="shared" si="2"/>
        <v>0</v>
      </c>
      <c r="E67" s="3">
        <f t="shared" si="3"/>
        <v>6.0999999999980403E-2</v>
      </c>
    </row>
    <row r="68" spans="1:5" x14ac:dyDescent="0.3">
      <c r="A68" s="3">
        <v>6.06000000000002</v>
      </c>
      <c r="B68" s="3">
        <f t="shared" si="0"/>
        <v>5.9999999999980069E-2</v>
      </c>
      <c r="C68" s="3">
        <f t="shared" si="1"/>
        <v>0</v>
      </c>
      <c r="D68" s="3">
        <f t="shared" si="2"/>
        <v>0</v>
      </c>
      <c r="E68" s="3">
        <f t="shared" si="3"/>
        <v>5.9999999999980069E-2</v>
      </c>
    </row>
    <row r="69" spans="1:5" x14ac:dyDescent="0.3">
      <c r="A69" s="3">
        <v>6.0610000000000204</v>
      </c>
      <c r="B69" s="3">
        <f t="shared" si="0"/>
        <v>5.8999999999979735E-2</v>
      </c>
      <c r="C69" s="3">
        <f t="shared" si="1"/>
        <v>0</v>
      </c>
      <c r="D69" s="3">
        <f t="shared" si="2"/>
        <v>0</v>
      </c>
      <c r="E69" s="3">
        <f t="shared" si="3"/>
        <v>5.8999999999979735E-2</v>
      </c>
    </row>
    <row r="70" spans="1:5" x14ac:dyDescent="0.3">
      <c r="A70" s="3">
        <v>6.0620000000000198</v>
      </c>
      <c r="B70" s="3">
        <f t="shared" si="0"/>
        <v>5.799999999998029E-2</v>
      </c>
      <c r="C70" s="3">
        <f t="shared" si="1"/>
        <v>0</v>
      </c>
      <c r="D70" s="3">
        <f t="shared" si="2"/>
        <v>0</v>
      </c>
      <c r="E70" s="3">
        <f t="shared" si="3"/>
        <v>5.799999999998029E-2</v>
      </c>
    </row>
    <row r="71" spans="1:5" x14ac:dyDescent="0.3">
      <c r="A71" s="3">
        <v>6.0630000000000202</v>
      </c>
      <c r="B71" s="3">
        <f t="shared" si="0"/>
        <v>5.6999999999979956E-2</v>
      </c>
      <c r="C71" s="3">
        <f t="shared" si="1"/>
        <v>0</v>
      </c>
      <c r="D71" s="3">
        <f t="shared" si="2"/>
        <v>0</v>
      </c>
      <c r="E71" s="3">
        <f t="shared" si="3"/>
        <v>5.6999999999979956E-2</v>
      </c>
    </row>
    <row r="72" spans="1:5" x14ac:dyDescent="0.3">
      <c r="A72" s="3">
        <v>6.0640000000000196</v>
      </c>
      <c r="B72" s="3">
        <f t="shared" si="0"/>
        <v>5.599999999998051E-2</v>
      </c>
      <c r="C72" s="3">
        <f t="shared" si="1"/>
        <v>0</v>
      </c>
      <c r="D72" s="3">
        <f t="shared" si="2"/>
        <v>0</v>
      </c>
      <c r="E72" s="3">
        <f t="shared" si="3"/>
        <v>5.599999999998051E-2</v>
      </c>
    </row>
    <row r="73" spans="1:5" x14ac:dyDescent="0.3">
      <c r="A73" s="3">
        <v>6.0650000000000199</v>
      </c>
      <c r="B73" s="3">
        <f t="shared" ref="B73:B136" si="4">MAX($B$2-A73,0)</f>
        <v>5.4999999999980176E-2</v>
      </c>
      <c r="C73" s="3">
        <f t="shared" ref="C73:C136" si="5">MAX(A73-$B$3,0)*(-1)</f>
        <v>0</v>
      </c>
      <c r="D73" s="3">
        <f t="shared" ref="D73:D136" si="6">IF(A73&gt;6.18,0.06,0)*(-2)</f>
        <v>0</v>
      </c>
      <c r="E73" s="3">
        <f t="shared" ref="E73:E136" si="7">SUM(B73:D73)</f>
        <v>5.4999999999980176E-2</v>
      </c>
    </row>
    <row r="74" spans="1:5" x14ac:dyDescent="0.3">
      <c r="A74" s="3">
        <v>6.0660000000000203</v>
      </c>
      <c r="B74" s="3">
        <f t="shared" si="4"/>
        <v>5.3999999999979842E-2</v>
      </c>
      <c r="C74" s="3">
        <f t="shared" si="5"/>
        <v>0</v>
      </c>
      <c r="D74" s="3">
        <f t="shared" si="6"/>
        <v>0</v>
      </c>
      <c r="E74" s="3">
        <f t="shared" si="7"/>
        <v>5.3999999999979842E-2</v>
      </c>
    </row>
    <row r="75" spans="1:5" x14ac:dyDescent="0.3">
      <c r="A75" s="3">
        <v>6.0670000000000197</v>
      </c>
      <c r="B75" s="3">
        <f t="shared" si="4"/>
        <v>5.2999999999980396E-2</v>
      </c>
      <c r="C75" s="3">
        <f t="shared" si="5"/>
        <v>0</v>
      </c>
      <c r="D75" s="3">
        <f t="shared" si="6"/>
        <v>0</v>
      </c>
      <c r="E75" s="3">
        <f t="shared" si="7"/>
        <v>5.2999999999980396E-2</v>
      </c>
    </row>
    <row r="76" spans="1:5" x14ac:dyDescent="0.3">
      <c r="A76" s="3">
        <v>6.06800000000002</v>
      </c>
      <c r="B76" s="3">
        <f t="shared" si="4"/>
        <v>5.1999999999980062E-2</v>
      </c>
      <c r="C76" s="3">
        <f t="shared" si="5"/>
        <v>0</v>
      </c>
      <c r="D76" s="3">
        <f t="shared" si="6"/>
        <v>0</v>
      </c>
      <c r="E76" s="3">
        <f t="shared" si="7"/>
        <v>5.1999999999980062E-2</v>
      </c>
    </row>
    <row r="77" spans="1:5" x14ac:dyDescent="0.3">
      <c r="A77" s="3">
        <v>6.0690000000000204</v>
      </c>
      <c r="B77" s="3">
        <f t="shared" si="4"/>
        <v>5.0999999999979728E-2</v>
      </c>
      <c r="C77" s="3">
        <f t="shared" si="5"/>
        <v>0</v>
      </c>
      <c r="D77" s="3">
        <f t="shared" si="6"/>
        <v>0</v>
      </c>
      <c r="E77" s="3">
        <f t="shared" si="7"/>
        <v>5.0999999999979728E-2</v>
      </c>
    </row>
    <row r="78" spans="1:5" x14ac:dyDescent="0.3">
      <c r="A78" s="3">
        <v>6.0700000000000198</v>
      </c>
      <c r="B78" s="3">
        <f t="shared" si="4"/>
        <v>4.9999999999980282E-2</v>
      </c>
      <c r="C78" s="3">
        <f t="shared" si="5"/>
        <v>0</v>
      </c>
      <c r="D78" s="3">
        <f t="shared" si="6"/>
        <v>0</v>
      </c>
      <c r="E78" s="3">
        <f t="shared" si="7"/>
        <v>4.9999999999980282E-2</v>
      </c>
    </row>
    <row r="79" spans="1:5" x14ac:dyDescent="0.3">
      <c r="A79" s="3">
        <v>6.0710000000000202</v>
      </c>
      <c r="B79" s="3">
        <f t="shared" si="4"/>
        <v>4.8999999999979948E-2</v>
      </c>
      <c r="C79" s="3">
        <f t="shared" si="5"/>
        <v>0</v>
      </c>
      <c r="D79" s="3">
        <f t="shared" si="6"/>
        <v>0</v>
      </c>
      <c r="E79" s="3">
        <f t="shared" si="7"/>
        <v>4.8999999999979948E-2</v>
      </c>
    </row>
    <row r="80" spans="1:5" x14ac:dyDescent="0.3">
      <c r="A80" s="3">
        <v>6.0720000000000196</v>
      </c>
      <c r="B80" s="3">
        <f t="shared" si="4"/>
        <v>4.7999999999980503E-2</v>
      </c>
      <c r="C80" s="3">
        <f t="shared" si="5"/>
        <v>0</v>
      </c>
      <c r="D80" s="3">
        <f t="shared" si="6"/>
        <v>0</v>
      </c>
      <c r="E80" s="3">
        <f t="shared" si="7"/>
        <v>4.7999999999980503E-2</v>
      </c>
    </row>
    <row r="81" spans="1:5" x14ac:dyDescent="0.3">
      <c r="A81" s="3">
        <v>6.0730000000000199</v>
      </c>
      <c r="B81" s="3">
        <f t="shared" si="4"/>
        <v>4.6999999999980169E-2</v>
      </c>
      <c r="C81" s="3">
        <f t="shared" si="5"/>
        <v>0</v>
      </c>
      <c r="D81" s="3">
        <f t="shared" si="6"/>
        <v>0</v>
      </c>
      <c r="E81" s="3">
        <f t="shared" si="7"/>
        <v>4.6999999999980169E-2</v>
      </c>
    </row>
    <row r="82" spans="1:5" x14ac:dyDescent="0.3">
      <c r="A82" s="3">
        <v>6.0740000000000203</v>
      </c>
      <c r="B82" s="3">
        <f t="shared" si="4"/>
        <v>4.5999999999979835E-2</v>
      </c>
      <c r="C82" s="3">
        <f t="shared" si="5"/>
        <v>0</v>
      </c>
      <c r="D82" s="3">
        <f t="shared" si="6"/>
        <v>0</v>
      </c>
      <c r="E82" s="3">
        <f t="shared" si="7"/>
        <v>4.5999999999979835E-2</v>
      </c>
    </row>
    <row r="83" spans="1:5" x14ac:dyDescent="0.3">
      <c r="A83" s="3">
        <v>6.0750000000000304</v>
      </c>
      <c r="B83" s="3">
        <f t="shared" si="4"/>
        <v>4.4999999999969731E-2</v>
      </c>
      <c r="C83" s="3">
        <f t="shared" si="5"/>
        <v>0</v>
      </c>
      <c r="D83" s="3">
        <f t="shared" si="6"/>
        <v>0</v>
      </c>
      <c r="E83" s="3">
        <f t="shared" si="7"/>
        <v>4.4999999999969731E-2</v>
      </c>
    </row>
    <row r="84" spans="1:5" x14ac:dyDescent="0.3">
      <c r="A84" s="3">
        <v>6.0760000000000298</v>
      </c>
      <c r="B84" s="3">
        <f t="shared" si="4"/>
        <v>4.3999999999970285E-2</v>
      </c>
      <c r="C84" s="3">
        <f t="shared" si="5"/>
        <v>0</v>
      </c>
      <c r="D84" s="3">
        <f t="shared" si="6"/>
        <v>0</v>
      </c>
      <c r="E84" s="3">
        <f t="shared" si="7"/>
        <v>4.3999999999970285E-2</v>
      </c>
    </row>
    <row r="85" spans="1:5" x14ac:dyDescent="0.3">
      <c r="A85" s="3">
        <v>6.0770000000000302</v>
      </c>
      <c r="B85" s="3">
        <f t="shared" si="4"/>
        <v>4.2999999999969951E-2</v>
      </c>
      <c r="C85" s="3">
        <f t="shared" si="5"/>
        <v>0</v>
      </c>
      <c r="D85" s="3">
        <f t="shared" si="6"/>
        <v>0</v>
      </c>
      <c r="E85" s="3">
        <f t="shared" si="7"/>
        <v>4.2999999999969951E-2</v>
      </c>
    </row>
    <row r="86" spans="1:5" x14ac:dyDescent="0.3">
      <c r="A86" s="3">
        <v>6.0780000000000296</v>
      </c>
      <c r="B86" s="3">
        <f t="shared" si="4"/>
        <v>4.1999999999970505E-2</v>
      </c>
      <c r="C86" s="3">
        <f t="shared" si="5"/>
        <v>0</v>
      </c>
      <c r="D86" s="3">
        <f t="shared" si="6"/>
        <v>0</v>
      </c>
      <c r="E86" s="3">
        <f t="shared" si="7"/>
        <v>4.1999999999970505E-2</v>
      </c>
    </row>
    <row r="87" spans="1:5" x14ac:dyDescent="0.3">
      <c r="A87" s="3">
        <v>6.0790000000000299</v>
      </c>
      <c r="B87" s="3">
        <f t="shared" si="4"/>
        <v>4.0999999999970171E-2</v>
      </c>
      <c r="C87" s="3">
        <f t="shared" si="5"/>
        <v>0</v>
      </c>
      <c r="D87" s="3">
        <f t="shared" si="6"/>
        <v>0</v>
      </c>
      <c r="E87" s="3">
        <f t="shared" si="7"/>
        <v>4.0999999999970171E-2</v>
      </c>
    </row>
    <row r="88" spans="1:5" x14ac:dyDescent="0.3">
      <c r="A88" s="3">
        <v>6.0800000000000303</v>
      </c>
      <c r="B88" s="3">
        <f t="shared" si="4"/>
        <v>3.9999999999969837E-2</v>
      </c>
      <c r="C88" s="3">
        <f t="shared" si="5"/>
        <v>0</v>
      </c>
      <c r="D88" s="3">
        <f t="shared" si="6"/>
        <v>0</v>
      </c>
      <c r="E88" s="3">
        <f t="shared" si="7"/>
        <v>3.9999999999969837E-2</v>
      </c>
    </row>
    <row r="89" spans="1:5" x14ac:dyDescent="0.3">
      <c r="A89" s="3">
        <v>6.0810000000000297</v>
      </c>
      <c r="B89" s="3">
        <f t="shared" si="4"/>
        <v>3.8999999999970392E-2</v>
      </c>
      <c r="C89" s="3">
        <f t="shared" si="5"/>
        <v>0</v>
      </c>
      <c r="D89" s="3">
        <f t="shared" si="6"/>
        <v>0</v>
      </c>
      <c r="E89" s="3">
        <f t="shared" si="7"/>
        <v>3.8999999999970392E-2</v>
      </c>
    </row>
    <row r="90" spans="1:5" x14ac:dyDescent="0.3">
      <c r="A90" s="3">
        <v>6.08200000000003</v>
      </c>
      <c r="B90" s="3">
        <f t="shared" si="4"/>
        <v>3.7999999999970058E-2</v>
      </c>
      <c r="C90" s="3">
        <f t="shared" si="5"/>
        <v>0</v>
      </c>
      <c r="D90" s="3">
        <f t="shared" si="6"/>
        <v>0</v>
      </c>
      <c r="E90" s="3">
        <f t="shared" si="7"/>
        <v>3.7999999999970058E-2</v>
      </c>
    </row>
    <row r="91" spans="1:5" x14ac:dyDescent="0.3">
      <c r="A91" s="3">
        <v>6.0830000000000304</v>
      </c>
      <c r="B91" s="3">
        <f t="shared" si="4"/>
        <v>3.6999999999969724E-2</v>
      </c>
      <c r="C91" s="3">
        <f t="shared" si="5"/>
        <v>0</v>
      </c>
      <c r="D91" s="3">
        <f t="shared" si="6"/>
        <v>0</v>
      </c>
      <c r="E91" s="3">
        <f t="shared" si="7"/>
        <v>3.6999999999969724E-2</v>
      </c>
    </row>
    <row r="92" spans="1:5" x14ac:dyDescent="0.3">
      <c r="A92" s="3">
        <v>6.0840000000000298</v>
      </c>
      <c r="B92" s="3">
        <f t="shared" si="4"/>
        <v>3.5999999999970278E-2</v>
      </c>
      <c r="C92" s="3">
        <f t="shared" si="5"/>
        <v>0</v>
      </c>
      <c r="D92" s="3">
        <f t="shared" si="6"/>
        <v>0</v>
      </c>
      <c r="E92" s="3">
        <f t="shared" si="7"/>
        <v>3.5999999999970278E-2</v>
      </c>
    </row>
    <row r="93" spans="1:5" x14ac:dyDescent="0.3">
      <c r="A93" s="3">
        <v>6.0850000000000302</v>
      </c>
      <c r="B93" s="3">
        <f t="shared" si="4"/>
        <v>3.4999999999969944E-2</v>
      </c>
      <c r="C93" s="3">
        <f t="shared" si="5"/>
        <v>0</v>
      </c>
      <c r="D93" s="3">
        <f t="shared" si="6"/>
        <v>0</v>
      </c>
      <c r="E93" s="3">
        <f t="shared" si="7"/>
        <v>3.4999999999969944E-2</v>
      </c>
    </row>
    <row r="94" spans="1:5" x14ac:dyDescent="0.3">
      <c r="A94" s="3">
        <v>6.0860000000000296</v>
      </c>
      <c r="B94" s="3">
        <f t="shared" si="4"/>
        <v>3.3999999999970498E-2</v>
      </c>
      <c r="C94" s="3">
        <f t="shared" si="5"/>
        <v>0</v>
      </c>
      <c r="D94" s="3">
        <f t="shared" si="6"/>
        <v>0</v>
      </c>
      <c r="E94" s="3">
        <f t="shared" si="7"/>
        <v>3.3999999999970498E-2</v>
      </c>
    </row>
    <row r="95" spans="1:5" x14ac:dyDescent="0.3">
      <c r="A95" s="3">
        <v>6.0870000000000299</v>
      </c>
      <c r="B95" s="3">
        <f t="shared" si="4"/>
        <v>3.2999999999970164E-2</v>
      </c>
      <c r="C95" s="3">
        <f t="shared" si="5"/>
        <v>0</v>
      </c>
      <c r="D95" s="3">
        <f t="shared" si="6"/>
        <v>0</v>
      </c>
      <c r="E95" s="3">
        <f t="shared" si="7"/>
        <v>3.2999999999970164E-2</v>
      </c>
    </row>
    <row r="96" spans="1:5" x14ac:dyDescent="0.3">
      <c r="A96" s="3">
        <v>6.0880000000000303</v>
      </c>
      <c r="B96" s="3">
        <f t="shared" si="4"/>
        <v>3.199999999996983E-2</v>
      </c>
      <c r="C96" s="3">
        <f t="shared" si="5"/>
        <v>0</v>
      </c>
      <c r="D96" s="3">
        <f t="shared" si="6"/>
        <v>0</v>
      </c>
      <c r="E96" s="3">
        <f t="shared" si="7"/>
        <v>3.199999999996983E-2</v>
      </c>
    </row>
    <row r="97" spans="1:5" x14ac:dyDescent="0.3">
      <c r="A97" s="3">
        <v>6.0890000000000297</v>
      </c>
      <c r="B97" s="3">
        <f t="shared" si="4"/>
        <v>3.0999999999970385E-2</v>
      </c>
      <c r="C97" s="3">
        <f t="shared" si="5"/>
        <v>0</v>
      </c>
      <c r="D97" s="3">
        <f t="shared" si="6"/>
        <v>0</v>
      </c>
      <c r="E97" s="3">
        <f t="shared" si="7"/>
        <v>3.0999999999970385E-2</v>
      </c>
    </row>
    <row r="98" spans="1:5" x14ac:dyDescent="0.3">
      <c r="A98" s="3">
        <v>6.0900000000000301</v>
      </c>
      <c r="B98" s="3">
        <f t="shared" si="4"/>
        <v>2.9999999999970051E-2</v>
      </c>
      <c r="C98" s="3">
        <f t="shared" si="5"/>
        <v>0</v>
      </c>
      <c r="D98" s="3">
        <f t="shared" si="6"/>
        <v>0</v>
      </c>
      <c r="E98" s="3">
        <f t="shared" si="7"/>
        <v>2.9999999999970051E-2</v>
      </c>
    </row>
    <row r="99" spans="1:5" x14ac:dyDescent="0.3">
      <c r="A99" s="3">
        <v>6.0910000000000304</v>
      </c>
      <c r="B99" s="3">
        <f t="shared" si="4"/>
        <v>2.8999999999969717E-2</v>
      </c>
      <c r="C99" s="3">
        <f t="shared" si="5"/>
        <v>0</v>
      </c>
      <c r="D99" s="3">
        <f t="shared" si="6"/>
        <v>0</v>
      </c>
      <c r="E99" s="3">
        <f t="shared" si="7"/>
        <v>2.8999999999969717E-2</v>
      </c>
    </row>
    <row r="100" spans="1:5" x14ac:dyDescent="0.3">
      <c r="A100" s="3">
        <v>6.0920000000000298</v>
      </c>
      <c r="B100" s="3">
        <f t="shared" si="4"/>
        <v>2.7999999999970271E-2</v>
      </c>
      <c r="C100" s="3">
        <f t="shared" si="5"/>
        <v>0</v>
      </c>
      <c r="D100" s="3">
        <f t="shared" si="6"/>
        <v>0</v>
      </c>
      <c r="E100" s="3">
        <f t="shared" si="7"/>
        <v>2.7999999999970271E-2</v>
      </c>
    </row>
    <row r="101" spans="1:5" x14ac:dyDescent="0.3">
      <c r="A101" s="3">
        <v>6.0930000000000302</v>
      </c>
      <c r="B101" s="3">
        <f t="shared" si="4"/>
        <v>2.6999999999969937E-2</v>
      </c>
      <c r="C101" s="3">
        <f t="shared" si="5"/>
        <v>0</v>
      </c>
      <c r="D101" s="3">
        <f t="shared" si="6"/>
        <v>0</v>
      </c>
      <c r="E101" s="3">
        <f t="shared" si="7"/>
        <v>2.6999999999969937E-2</v>
      </c>
    </row>
    <row r="102" spans="1:5" x14ac:dyDescent="0.3">
      <c r="A102" s="3">
        <v>6.0940000000000296</v>
      </c>
      <c r="B102" s="3">
        <f t="shared" si="4"/>
        <v>2.5999999999970491E-2</v>
      </c>
      <c r="C102" s="3">
        <f t="shared" si="5"/>
        <v>0</v>
      </c>
      <c r="D102" s="3">
        <f t="shared" si="6"/>
        <v>0</v>
      </c>
      <c r="E102" s="3">
        <f t="shared" si="7"/>
        <v>2.5999999999970491E-2</v>
      </c>
    </row>
    <row r="103" spans="1:5" x14ac:dyDescent="0.3">
      <c r="A103" s="3">
        <v>6.0950000000000299</v>
      </c>
      <c r="B103" s="3">
        <f t="shared" si="4"/>
        <v>2.4999999999970157E-2</v>
      </c>
      <c r="C103" s="3">
        <f t="shared" si="5"/>
        <v>0</v>
      </c>
      <c r="D103" s="3">
        <f t="shared" si="6"/>
        <v>0</v>
      </c>
      <c r="E103" s="3">
        <f t="shared" si="7"/>
        <v>2.4999999999970157E-2</v>
      </c>
    </row>
    <row r="104" spans="1:5" x14ac:dyDescent="0.3">
      <c r="A104" s="3">
        <v>6.0960000000000303</v>
      </c>
      <c r="B104" s="3">
        <f t="shared" si="4"/>
        <v>2.3999999999969823E-2</v>
      </c>
      <c r="C104" s="3">
        <f t="shared" si="5"/>
        <v>0</v>
      </c>
      <c r="D104" s="3">
        <f t="shared" si="6"/>
        <v>0</v>
      </c>
      <c r="E104" s="3">
        <f t="shared" si="7"/>
        <v>2.3999999999969823E-2</v>
      </c>
    </row>
    <row r="105" spans="1:5" x14ac:dyDescent="0.3">
      <c r="A105" s="3">
        <v>6.0970000000000297</v>
      </c>
      <c r="B105" s="3">
        <f t="shared" si="4"/>
        <v>2.2999999999970377E-2</v>
      </c>
      <c r="C105" s="3">
        <f t="shared" si="5"/>
        <v>0</v>
      </c>
      <c r="D105" s="3">
        <f t="shared" si="6"/>
        <v>0</v>
      </c>
      <c r="E105" s="3">
        <f t="shared" si="7"/>
        <v>2.2999999999970377E-2</v>
      </c>
    </row>
    <row r="106" spans="1:5" x14ac:dyDescent="0.3">
      <c r="A106" s="3">
        <v>6.0980000000000301</v>
      </c>
      <c r="B106" s="3">
        <f t="shared" si="4"/>
        <v>2.1999999999970044E-2</v>
      </c>
      <c r="C106" s="3">
        <f t="shared" si="5"/>
        <v>0</v>
      </c>
      <c r="D106" s="3">
        <f t="shared" si="6"/>
        <v>0</v>
      </c>
      <c r="E106" s="3">
        <f t="shared" si="7"/>
        <v>2.1999999999970044E-2</v>
      </c>
    </row>
    <row r="107" spans="1:5" x14ac:dyDescent="0.3">
      <c r="A107" s="3">
        <v>6.0990000000000304</v>
      </c>
      <c r="B107" s="3">
        <f t="shared" si="4"/>
        <v>2.099999999996971E-2</v>
      </c>
      <c r="C107" s="3">
        <f t="shared" si="5"/>
        <v>0</v>
      </c>
      <c r="D107" s="3">
        <f t="shared" si="6"/>
        <v>0</v>
      </c>
      <c r="E107" s="3">
        <f t="shared" si="7"/>
        <v>2.099999999996971E-2</v>
      </c>
    </row>
    <row r="108" spans="1:5" x14ac:dyDescent="0.3">
      <c r="A108" s="3">
        <v>6.1000000000000298</v>
      </c>
      <c r="B108" s="3">
        <f t="shared" si="4"/>
        <v>1.9999999999970264E-2</v>
      </c>
      <c r="C108" s="3">
        <f t="shared" si="5"/>
        <v>0</v>
      </c>
      <c r="D108" s="3">
        <f t="shared" si="6"/>
        <v>0</v>
      </c>
      <c r="E108" s="3">
        <f t="shared" si="7"/>
        <v>1.9999999999970264E-2</v>
      </c>
    </row>
    <row r="109" spans="1:5" x14ac:dyDescent="0.3">
      <c r="A109" s="3">
        <v>6.1010000000000302</v>
      </c>
      <c r="B109" s="3">
        <f t="shared" si="4"/>
        <v>1.899999999996993E-2</v>
      </c>
      <c r="C109" s="3">
        <f t="shared" si="5"/>
        <v>0</v>
      </c>
      <c r="D109" s="3">
        <f t="shared" si="6"/>
        <v>0</v>
      </c>
      <c r="E109" s="3">
        <f t="shared" si="7"/>
        <v>1.899999999996993E-2</v>
      </c>
    </row>
    <row r="110" spans="1:5" x14ac:dyDescent="0.3">
      <c r="A110" s="3">
        <v>6.1020000000000296</v>
      </c>
      <c r="B110" s="3">
        <f t="shared" si="4"/>
        <v>1.7999999999970484E-2</v>
      </c>
      <c r="C110" s="3">
        <f t="shared" si="5"/>
        <v>0</v>
      </c>
      <c r="D110" s="3">
        <f t="shared" si="6"/>
        <v>0</v>
      </c>
      <c r="E110" s="3">
        <f t="shared" si="7"/>
        <v>1.7999999999970484E-2</v>
      </c>
    </row>
    <row r="111" spans="1:5" x14ac:dyDescent="0.3">
      <c r="A111" s="3">
        <v>6.10300000000003</v>
      </c>
      <c r="B111" s="3">
        <f t="shared" si="4"/>
        <v>1.699999999997015E-2</v>
      </c>
      <c r="C111" s="3">
        <f t="shared" si="5"/>
        <v>0</v>
      </c>
      <c r="D111" s="3">
        <f t="shared" si="6"/>
        <v>0</v>
      </c>
      <c r="E111" s="3">
        <f t="shared" si="7"/>
        <v>1.699999999997015E-2</v>
      </c>
    </row>
    <row r="112" spans="1:5" x14ac:dyDescent="0.3">
      <c r="A112" s="3">
        <v>6.1040000000000303</v>
      </c>
      <c r="B112" s="3">
        <f t="shared" si="4"/>
        <v>1.5999999999969816E-2</v>
      </c>
      <c r="C112" s="3">
        <f t="shared" si="5"/>
        <v>0</v>
      </c>
      <c r="D112" s="3">
        <f t="shared" si="6"/>
        <v>0</v>
      </c>
      <c r="E112" s="3">
        <f t="shared" si="7"/>
        <v>1.5999999999969816E-2</v>
      </c>
    </row>
    <row r="113" spans="1:5" x14ac:dyDescent="0.3">
      <c r="A113" s="3">
        <v>6.1050000000000404</v>
      </c>
      <c r="B113" s="3">
        <f t="shared" si="4"/>
        <v>1.4999999999959712E-2</v>
      </c>
      <c r="C113" s="3">
        <f t="shared" si="5"/>
        <v>0</v>
      </c>
      <c r="D113" s="3">
        <f t="shared" si="6"/>
        <v>0</v>
      </c>
      <c r="E113" s="3">
        <f t="shared" si="7"/>
        <v>1.4999999999959712E-2</v>
      </c>
    </row>
    <row r="114" spans="1:5" x14ac:dyDescent="0.3">
      <c r="A114" s="3">
        <v>6.1060000000000398</v>
      </c>
      <c r="B114" s="3">
        <f t="shared" si="4"/>
        <v>1.3999999999960266E-2</v>
      </c>
      <c r="C114" s="3">
        <f t="shared" si="5"/>
        <v>0</v>
      </c>
      <c r="D114" s="3">
        <f t="shared" si="6"/>
        <v>0</v>
      </c>
      <c r="E114" s="3">
        <f t="shared" si="7"/>
        <v>1.3999999999960266E-2</v>
      </c>
    </row>
    <row r="115" spans="1:5" x14ac:dyDescent="0.3">
      <c r="A115" s="3">
        <v>6.1070000000000402</v>
      </c>
      <c r="B115" s="3">
        <f t="shared" si="4"/>
        <v>1.2999999999959932E-2</v>
      </c>
      <c r="C115" s="3">
        <f t="shared" si="5"/>
        <v>0</v>
      </c>
      <c r="D115" s="3">
        <f t="shared" si="6"/>
        <v>0</v>
      </c>
      <c r="E115" s="3">
        <f t="shared" si="7"/>
        <v>1.2999999999959932E-2</v>
      </c>
    </row>
    <row r="116" spans="1:5" x14ac:dyDescent="0.3">
      <c r="A116" s="3">
        <v>6.1080000000000396</v>
      </c>
      <c r="B116" s="3">
        <f t="shared" si="4"/>
        <v>1.1999999999960487E-2</v>
      </c>
      <c r="C116" s="3">
        <f t="shared" si="5"/>
        <v>0</v>
      </c>
      <c r="D116" s="3">
        <f t="shared" si="6"/>
        <v>0</v>
      </c>
      <c r="E116" s="3">
        <f t="shared" si="7"/>
        <v>1.1999999999960487E-2</v>
      </c>
    </row>
    <row r="117" spans="1:5" x14ac:dyDescent="0.3">
      <c r="A117" s="3">
        <v>6.10900000000004</v>
      </c>
      <c r="B117" s="3">
        <f t="shared" si="4"/>
        <v>1.0999999999960153E-2</v>
      </c>
      <c r="C117" s="3">
        <f t="shared" si="5"/>
        <v>0</v>
      </c>
      <c r="D117" s="3">
        <f t="shared" si="6"/>
        <v>0</v>
      </c>
      <c r="E117" s="3">
        <f t="shared" si="7"/>
        <v>1.0999999999960153E-2</v>
      </c>
    </row>
    <row r="118" spans="1:5" x14ac:dyDescent="0.3">
      <c r="A118" s="3">
        <v>6.1100000000000403</v>
      </c>
      <c r="B118" s="3">
        <f t="shared" si="4"/>
        <v>9.9999999999598188E-3</v>
      </c>
      <c r="C118" s="3">
        <f t="shared" si="5"/>
        <v>0</v>
      </c>
      <c r="D118" s="3">
        <f t="shared" si="6"/>
        <v>0</v>
      </c>
      <c r="E118" s="3">
        <f t="shared" si="7"/>
        <v>9.9999999999598188E-3</v>
      </c>
    </row>
    <row r="119" spans="1:5" x14ac:dyDescent="0.3">
      <c r="A119" s="3">
        <v>6.1110000000000397</v>
      </c>
      <c r="B119" s="3">
        <f t="shared" si="4"/>
        <v>8.999999999960373E-3</v>
      </c>
      <c r="C119" s="3">
        <f t="shared" si="5"/>
        <v>0</v>
      </c>
      <c r="D119" s="3">
        <f t="shared" si="6"/>
        <v>0</v>
      </c>
      <c r="E119" s="3">
        <f t="shared" si="7"/>
        <v>8.999999999960373E-3</v>
      </c>
    </row>
    <row r="120" spans="1:5" x14ac:dyDescent="0.3">
      <c r="A120" s="3">
        <v>6.1120000000000401</v>
      </c>
      <c r="B120" s="3">
        <f t="shared" si="4"/>
        <v>7.9999999999600391E-3</v>
      </c>
      <c r="C120" s="3">
        <f t="shared" si="5"/>
        <v>0</v>
      </c>
      <c r="D120" s="3">
        <f t="shared" si="6"/>
        <v>0</v>
      </c>
      <c r="E120" s="3">
        <f t="shared" si="7"/>
        <v>7.9999999999600391E-3</v>
      </c>
    </row>
    <row r="121" spans="1:5" x14ac:dyDescent="0.3">
      <c r="A121" s="3">
        <v>6.1130000000000404</v>
      </c>
      <c r="B121" s="3">
        <f t="shared" si="4"/>
        <v>6.9999999999597051E-3</v>
      </c>
      <c r="C121" s="3">
        <f t="shared" si="5"/>
        <v>0</v>
      </c>
      <c r="D121" s="3">
        <f t="shared" si="6"/>
        <v>0</v>
      </c>
      <c r="E121" s="3">
        <f t="shared" si="7"/>
        <v>6.9999999999597051E-3</v>
      </c>
    </row>
    <row r="122" spans="1:5" x14ac:dyDescent="0.3">
      <c r="A122" s="3">
        <v>6.1140000000000398</v>
      </c>
      <c r="B122" s="3">
        <f t="shared" si="4"/>
        <v>5.9999999999602593E-3</v>
      </c>
      <c r="C122" s="3">
        <f t="shared" si="5"/>
        <v>0</v>
      </c>
      <c r="D122" s="3">
        <f t="shared" si="6"/>
        <v>0</v>
      </c>
      <c r="E122" s="3">
        <f t="shared" si="7"/>
        <v>5.9999999999602593E-3</v>
      </c>
    </row>
    <row r="123" spans="1:5" x14ac:dyDescent="0.3">
      <c r="A123" s="3">
        <v>6.1150000000000402</v>
      </c>
      <c r="B123" s="3">
        <f t="shared" si="4"/>
        <v>4.9999999999599254E-3</v>
      </c>
      <c r="C123" s="3">
        <f t="shared" si="5"/>
        <v>0</v>
      </c>
      <c r="D123" s="3">
        <f t="shared" si="6"/>
        <v>0</v>
      </c>
      <c r="E123" s="3">
        <f t="shared" si="7"/>
        <v>4.9999999999599254E-3</v>
      </c>
    </row>
    <row r="124" spans="1:5" x14ac:dyDescent="0.3">
      <c r="A124" s="3">
        <v>6.1160000000000396</v>
      </c>
      <c r="B124" s="3">
        <f t="shared" si="4"/>
        <v>3.9999999999604796E-3</v>
      </c>
      <c r="C124" s="3">
        <f t="shared" si="5"/>
        <v>0</v>
      </c>
      <c r="D124" s="3">
        <f t="shared" si="6"/>
        <v>0</v>
      </c>
      <c r="E124" s="3">
        <f t="shared" si="7"/>
        <v>3.9999999999604796E-3</v>
      </c>
    </row>
    <row r="125" spans="1:5" x14ac:dyDescent="0.3">
      <c r="A125" s="3">
        <v>6.11700000000004</v>
      </c>
      <c r="B125" s="3">
        <f t="shared" si="4"/>
        <v>2.9999999999601457E-3</v>
      </c>
      <c r="C125" s="3">
        <f t="shared" si="5"/>
        <v>0</v>
      </c>
      <c r="D125" s="3">
        <f t="shared" si="6"/>
        <v>0</v>
      </c>
      <c r="E125" s="3">
        <f t="shared" si="7"/>
        <v>2.9999999999601457E-3</v>
      </c>
    </row>
    <row r="126" spans="1:5" x14ac:dyDescent="0.3">
      <c r="A126" s="3">
        <v>6.1180000000000403</v>
      </c>
      <c r="B126" s="3">
        <f t="shared" si="4"/>
        <v>1.9999999999598117E-3</v>
      </c>
      <c r="C126" s="3">
        <f t="shared" si="5"/>
        <v>0</v>
      </c>
      <c r="D126" s="3">
        <f t="shared" si="6"/>
        <v>0</v>
      </c>
      <c r="E126" s="3">
        <f t="shared" si="7"/>
        <v>1.9999999999598117E-3</v>
      </c>
    </row>
    <row r="127" spans="1:5" x14ac:dyDescent="0.3">
      <c r="A127" s="3">
        <v>6.1190000000000397</v>
      </c>
      <c r="B127" s="3">
        <f t="shared" si="4"/>
        <v>9.9999999996036593E-4</v>
      </c>
      <c r="C127" s="3">
        <f t="shared" si="5"/>
        <v>0</v>
      </c>
      <c r="D127" s="3">
        <f t="shared" si="6"/>
        <v>0</v>
      </c>
      <c r="E127" s="3">
        <f t="shared" si="7"/>
        <v>9.9999999996036593E-4</v>
      </c>
    </row>
    <row r="128" spans="1:5" x14ac:dyDescent="0.3">
      <c r="A128" s="3">
        <v>6.1200000000000401</v>
      </c>
      <c r="B128" s="3">
        <f t="shared" si="4"/>
        <v>0</v>
      </c>
      <c r="C128" s="3">
        <f t="shared" si="5"/>
        <v>0</v>
      </c>
      <c r="D128" s="3">
        <f t="shared" si="6"/>
        <v>0</v>
      </c>
      <c r="E128" s="3">
        <f t="shared" si="7"/>
        <v>0</v>
      </c>
    </row>
    <row r="129" spans="1:5" x14ac:dyDescent="0.3">
      <c r="A129" s="3">
        <v>6.1210000000000404</v>
      </c>
      <c r="B129" s="3">
        <f t="shared" si="4"/>
        <v>0</v>
      </c>
      <c r="C129" s="3">
        <f t="shared" si="5"/>
        <v>0</v>
      </c>
      <c r="D129" s="3">
        <f t="shared" si="6"/>
        <v>0</v>
      </c>
      <c r="E129" s="3">
        <f t="shared" si="7"/>
        <v>0</v>
      </c>
    </row>
    <row r="130" spans="1:5" x14ac:dyDescent="0.3">
      <c r="A130" s="3">
        <v>6.1220000000000399</v>
      </c>
      <c r="B130" s="3">
        <f t="shared" si="4"/>
        <v>0</v>
      </c>
      <c r="C130" s="3">
        <f t="shared" si="5"/>
        <v>0</v>
      </c>
      <c r="D130" s="3">
        <f t="shared" si="6"/>
        <v>0</v>
      </c>
      <c r="E130" s="3">
        <f t="shared" si="7"/>
        <v>0</v>
      </c>
    </row>
    <row r="131" spans="1:5" x14ac:dyDescent="0.3">
      <c r="A131" s="3">
        <v>6.1230000000000402</v>
      </c>
      <c r="B131" s="3">
        <f t="shared" si="4"/>
        <v>0</v>
      </c>
      <c r="C131" s="3">
        <f t="shared" si="5"/>
        <v>0</v>
      </c>
      <c r="D131" s="3">
        <f t="shared" si="6"/>
        <v>0</v>
      </c>
      <c r="E131" s="3">
        <f t="shared" si="7"/>
        <v>0</v>
      </c>
    </row>
    <row r="132" spans="1:5" x14ac:dyDescent="0.3">
      <c r="A132" s="3">
        <v>6.1240000000000396</v>
      </c>
      <c r="B132" s="3">
        <f t="shared" si="4"/>
        <v>0</v>
      </c>
      <c r="C132" s="3">
        <f t="shared" si="5"/>
        <v>0</v>
      </c>
      <c r="D132" s="3">
        <f t="shared" si="6"/>
        <v>0</v>
      </c>
      <c r="E132" s="3">
        <f t="shared" si="7"/>
        <v>0</v>
      </c>
    </row>
    <row r="133" spans="1:5" x14ac:dyDescent="0.3">
      <c r="A133" s="3">
        <v>6.12500000000004</v>
      </c>
      <c r="B133" s="3">
        <f t="shared" si="4"/>
        <v>0</v>
      </c>
      <c r="C133" s="3">
        <f t="shared" si="5"/>
        <v>0</v>
      </c>
      <c r="D133" s="3">
        <f t="shared" si="6"/>
        <v>0</v>
      </c>
      <c r="E133" s="3">
        <f t="shared" si="7"/>
        <v>0</v>
      </c>
    </row>
    <row r="134" spans="1:5" x14ac:dyDescent="0.3">
      <c r="A134" s="3">
        <v>6.1260000000000403</v>
      </c>
      <c r="B134" s="3">
        <f t="shared" si="4"/>
        <v>0</v>
      </c>
      <c r="C134" s="3">
        <f t="shared" si="5"/>
        <v>0</v>
      </c>
      <c r="D134" s="3">
        <f t="shared" si="6"/>
        <v>0</v>
      </c>
      <c r="E134" s="3">
        <f t="shared" si="7"/>
        <v>0</v>
      </c>
    </row>
    <row r="135" spans="1:5" x14ac:dyDescent="0.3">
      <c r="A135" s="3">
        <v>6.1270000000000397</v>
      </c>
      <c r="B135" s="3">
        <f t="shared" si="4"/>
        <v>0</v>
      </c>
      <c r="C135" s="3">
        <f t="shared" si="5"/>
        <v>0</v>
      </c>
      <c r="D135" s="3">
        <f t="shared" si="6"/>
        <v>0</v>
      </c>
      <c r="E135" s="3">
        <f t="shared" si="7"/>
        <v>0</v>
      </c>
    </row>
    <row r="136" spans="1:5" x14ac:dyDescent="0.3">
      <c r="A136" s="3">
        <v>6.1280000000000401</v>
      </c>
      <c r="B136" s="3">
        <f t="shared" si="4"/>
        <v>0</v>
      </c>
      <c r="C136" s="3">
        <f t="shared" si="5"/>
        <v>0</v>
      </c>
      <c r="D136" s="3">
        <f t="shared" si="6"/>
        <v>0</v>
      </c>
      <c r="E136" s="3">
        <f t="shared" si="7"/>
        <v>0</v>
      </c>
    </row>
    <row r="137" spans="1:5" x14ac:dyDescent="0.3">
      <c r="A137" s="3">
        <v>6.1290000000000404</v>
      </c>
      <c r="B137" s="3">
        <f t="shared" ref="B137:B200" si="8">MAX($B$2-A137,0)</f>
        <v>0</v>
      </c>
      <c r="C137" s="3">
        <f t="shared" ref="C137:C200" si="9">MAX(A137-$B$3,0)*(-1)</f>
        <v>0</v>
      </c>
      <c r="D137" s="3">
        <f t="shared" ref="D137:D200" si="10">IF(A137&gt;6.18,0.06,0)*(-2)</f>
        <v>0</v>
      </c>
      <c r="E137" s="3">
        <f t="shared" ref="E137:E200" si="11">SUM(B137:D137)</f>
        <v>0</v>
      </c>
    </row>
    <row r="138" spans="1:5" x14ac:dyDescent="0.3">
      <c r="A138" s="3">
        <v>6.1300000000000399</v>
      </c>
      <c r="B138" s="3">
        <f t="shared" si="8"/>
        <v>0</v>
      </c>
      <c r="C138" s="3">
        <f t="shared" si="9"/>
        <v>0</v>
      </c>
      <c r="D138" s="3">
        <f t="shared" si="10"/>
        <v>0</v>
      </c>
      <c r="E138" s="3">
        <f t="shared" si="11"/>
        <v>0</v>
      </c>
    </row>
    <row r="139" spans="1:5" x14ac:dyDescent="0.3">
      <c r="A139" s="3">
        <v>6.1310000000000402</v>
      </c>
      <c r="B139" s="3">
        <f t="shared" si="8"/>
        <v>0</v>
      </c>
      <c r="C139" s="3">
        <f t="shared" si="9"/>
        <v>0</v>
      </c>
      <c r="D139" s="3">
        <f t="shared" si="10"/>
        <v>0</v>
      </c>
      <c r="E139" s="3">
        <f t="shared" si="11"/>
        <v>0</v>
      </c>
    </row>
    <row r="140" spans="1:5" x14ac:dyDescent="0.3">
      <c r="A140" s="3">
        <v>6.1320000000000396</v>
      </c>
      <c r="B140" s="3">
        <f t="shared" si="8"/>
        <v>0</v>
      </c>
      <c r="C140" s="3">
        <f t="shared" si="9"/>
        <v>0</v>
      </c>
      <c r="D140" s="3">
        <f t="shared" si="10"/>
        <v>0</v>
      </c>
      <c r="E140" s="3">
        <f t="shared" si="11"/>
        <v>0</v>
      </c>
    </row>
    <row r="141" spans="1:5" x14ac:dyDescent="0.3">
      <c r="A141" s="3">
        <v>6.13300000000004</v>
      </c>
      <c r="B141" s="3">
        <f t="shared" si="8"/>
        <v>0</v>
      </c>
      <c r="C141" s="3">
        <f t="shared" si="9"/>
        <v>0</v>
      </c>
      <c r="D141" s="3">
        <f t="shared" si="10"/>
        <v>0</v>
      </c>
      <c r="E141" s="3">
        <f t="shared" si="11"/>
        <v>0</v>
      </c>
    </row>
    <row r="142" spans="1:5" x14ac:dyDescent="0.3">
      <c r="A142" s="3">
        <v>6.1340000000000403</v>
      </c>
      <c r="B142" s="3">
        <f t="shared" si="8"/>
        <v>0</v>
      </c>
      <c r="C142" s="3">
        <f t="shared" si="9"/>
        <v>0</v>
      </c>
      <c r="D142" s="3">
        <f t="shared" si="10"/>
        <v>0</v>
      </c>
      <c r="E142" s="3">
        <f t="shared" si="11"/>
        <v>0</v>
      </c>
    </row>
    <row r="143" spans="1:5" x14ac:dyDescent="0.3">
      <c r="A143" s="3">
        <v>6.1350000000000504</v>
      </c>
      <c r="B143" s="3">
        <f t="shared" si="8"/>
        <v>0</v>
      </c>
      <c r="C143" s="3">
        <f t="shared" si="9"/>
        <v>0</v>
      </c>
      <c r="D143" s="3">
        <f t="shared" si="10"/>
        <v>0</v>
      </c>
      <c r="E143" s="3">
        <f t="shared" si="11"/>
        <v>0</v>
      </c>
    </row>
    <row r="144" spans="1:5" x14ac:dyDescent="0.3">
      <c r="A144" s="3">
        <v>6.1360000000000499</v>
      </c>
      <c r="B144" s="3">
        <f t="shared" si="8"/>
        <v>0</v>
      </c>
      <c r="C144" s="3">
        <f t="shared" si="9"/>
        <v>0</v>
      </c>
      <c r="D144" s="3">
        <f t="shared" si="10"/>
        <v>0</v>
      </c>
      <c r="E144" s="3">
        <f t="shared" si="11"/>
        <v>0</v>
      </c>
    </row>
    <row r="145" spans="1:5" x14ac:dyDescent="0.3">
      <c r="A145" s="3">
        <v>6.1370000000000502</v>
      </c>
      <c r="B145" s="3">
        <f t="shared" si="8"/>
        <v>0</v>
      </c>
      <c r="C145" s="3">
        <f t="shared" si="9"/>
        <v>0</v>
      </c>
      <c r="D145" s="3">
        <f t="shared" si="10"/>
        <v>0</v>
      </c>
      <c r="E145" s="3">
        <f t="shared" si="11"/>
        <v>0</v>
      </c>
    </row>
    <row r="146" spans="1:5" x14ac:dyDescent="0.3">
      <c r="A146" s="3">
        <v>6.1380000000000496</v>
      </c>
      <c r="B146" s="3">
        <f t="shared" si="8"/>
        <v>0</v>
      </c>
      <c r="C146" s="3">
        <f t="shared" si="9"/>
        <v>0</v>
      </c>
      <c r="D146" s="3">
        <f t="shared" si="10"/>
        <v>0</v>
      </c>
      <c r="E146" s="3">
        <f t="shared" si="11"/>
        <v>0</v>
      </c>
    </row>
    <row r="147" spans="1:5" x14ac:dyDescent="0.3">
      <c r="A147" s="3">
        <v>6.13900000000005</v>
      </c>
      <c r="B147" s="3">
        <f t="shared" si="8"/>
        <v>0</v>
      </c>
      <c r="C147" s="3">
        <f t="shared" si="9"/>
        <v>0</v>
      </c>
      <c r="D147" s="3">
        <f t="shared" si="10"/>
        <v>0</v>
      </c>
      <c r="E147" s="3">
        <f t="shared" si="11"/>
        <v>0</v>
      </c>
    </row>
    <row r="148" spans="1:5" x14ac:dyDescent="0.3">
      <c r="A148" s="3">
        <v>6.1400000000000503</v>
      </c>
      <c r="B148" s="3">
        <f t="shared" si="8"/>
        <v>0</v>
      </c>
      <c r="C148" s="3">
        <f t="shared" si="9"/>
        <v>0</v>
      </c>
      <c r="D148" s="3">
        <f t="shared" si="10"/>
        <v>0</v>
      </c>
      <c r="E148" s="3">
        <f t="shared" si="11"/>
        <v>0</v>
      </c>
    </row>
    <row r="149" spans="1:5" x14ac:dyDescent="0.3">
      <c r="A149" s="3">
        <v>6.1410000000000498</v>
      </c>
      <c r="B149" s="3">
        <f t="shared" si="8"/>
        <v>0</v>
      </c>
      <c r="C149" s="3">
        <f t="shared" si="9"/>
        <v>0</v>
      </c>
      <c r="D149" s="3">
        <f t="shared" si="10"/>
        <v>0</v>
      </c>
      <c r="E149" s="3">
        <f t="shared" si="11"/>
        <v>0</v>
      </c>
    </row>
    <row r="150" spans="1:5" x14ac:dyDescent="0.3">
      <c r="A150" s="3">
        <v>6.1420000000000501</v>
      </c>
      <c r="B150" s="3">
        <f t="shared" si="8"/>
        <v>0</v>
      </c>
      <c r="C150" s="3">
        <f t="shared" si="9"/>
        <v>0</v>
      </c>
      <c r="D150" s="3">
        <f t="shared" si="10"/>
        <v>0</v>
      </c>
      <c r="E150" s="3">
        <f t="shared" si="11"/>
        <v>0</v>
      </c>
    </row>
    <row r="151" spans="1:5" x14ac:dyDescent="0.3">
      <c r="A151" s="3">
        <v>6.1430000000000504</v>
      </c>
      <c r="B151" s="3">
        <f t="shared" si="8"/>
        <v>0</v>
      </c>
      <c r="C151" s="3">
        <f t="shared" si="9"/>
        <v>0</v>
      </c>
      <c r="D151" s="3">
        <f t="shared" si="10"/>
        <v>0</v>
      </c>
      <c r="E151" s="3">
        <f t="shared" si="11"/>
        <v>0</v>
      </c>
    </row>
    <row r="152" spans="1:5" x14ac:dyDescent="0.3">
      <c r="A152" s="3">
        <v>6.1440000000000499</v>
      </c>
      <c r="B152" s="3">
        <f t="shared" si="8"/>
        <v>0</v>
      </c>
      <c r="C152" s="3">
        <f t="shared" si="9"/>
        <v>0</v>
      </c>
      <c r="D152" s="3">
        <f t="shared" si="10"/>
        <v>0</v>
      </c>
      <c r="E152" s="3">
        <f t="shared" si="11"/>
        <v>0</v>
      </c>
    </row>
    <row r="153" spans="1:5" x14ac:dyDescent="0.3">
      <c r="A153" s="3">
        <v>6.1450000000000502</v>
      </c>
      <c r="B153" s="3">
        <f t="shared" si="8"/>
        <v>0</v>
      </c>
      <c r="C153" s="3">
        <f t="shared" si="9"/>
        <v>0</v>
      </c>
      <c r="D153" s="3">
        <f t="shared" si="10"/>
        <v>0</v>
      </c>
      <c r="E153" s="3">
        <f t="shared" si="11"/>
        <v>0</v>
      </c>
    </row>
    <row r="154" spans="1:5" x14ac:dyDescent="0.3">
      <c r="A154" s="3">
        <v>6.1460000000000496</v>
      </c>
      <c r="B154" s="3">
        <f t="shared" si="8"/>
        <v>0</v>
      </c>
      <c r="C154" s="3">
        <f t="shared" si="9"/>
        <v>0</v>
      </c>
      <c r="D154" s="3">
        <f t="shared" si="10"/>
        <v>0</v>
      </c>
      <c r="E154" s="3">
        <f t="shared" si="11"/>
        <v>0</v>
      </c>
    </row>
    <row r="155" spans="1:5" x14ac:dyDescent="0.3">
      <c r="A155" s="3">
        <v>6.14700000000005</v>
      </c>
      <c r="B155" s="3">
        <f t="shared" si="8"/>
        <v>0</v>
      </c>
      <c r="C155" s="3">
        <f t="shared" si="9"/>
        <v>0</v>
      </c>
      <c r="D155" s="3">
        <f t="shared" si="10"/>
        <v>0</v>
      </c>
      <c r="E155" s="3">
        <f t="shared" si="11"/>
        <v>0</v>
      </c>
    </row>
    <row r="156" spans="1:5" x14ac:dyDescent="0.3">
      <c r="A156" s="3">
        <v>6.1480000000000503</v>
      </c>
      <c r="B156" s="3">
        <f t="shared" si="8"/>
        <v>0</v>
      </c>
      <c r="C156" s="3">
        <f t="shared" si="9"/>
        <v>0</v>
      </c>
      <c r="D156" s="3">
        <f t="shared" si="10"/>
        <v>0</v>
      </c>
      <c r="E156" s="3">
        <f t="shared" si="11"/>
        <v>0</v>
      </c>
    </row>
    <row r="157" spans="1:5" x14ac:dyDescent="0.3">
      <c r="A157" s="3">
        <v>6.1490000000000498</v>
      </c>
      <c r="B157" s="3">
        <f t="shared" si="8"/>
        <v>0</v>
      </c>
      <c r="C157" s="3">
        <f t="shared" si="9"/>
        <v>0</v>
      </c>
      <c r="D157" s="3">
        <f t="shared" si="10"/>
        <v>0</v>
      </c>
      <c r="E157" s="3">
        <f t="shared" si="11"/>
        <v>0</v>
      </c>
    </row>
    <row r="158" spans="1:5" x14ac:dyDescent="0.3">
      <c r="A158" s="3">
        <v>6.1500000000000501</v>
      </c>
      <c r="B158" s="3">
        <f t="shared" si="8"/>
        <v>0</v>
      </c>
      <c r="C158" s="3">
        <f t="shared" si="9"/>
        <v>0</v>
      </c>
      <c r="D158" s="3">
        <f t="shared" si="10"/>
        <v>0</v>
      </c>
      <c r="E158" s="3">
        <f t="shared" si="11"/>
        <v>0</v>
      </c>
    </row>
    <row r="159" spans="1:5" x14ac:dyDescent="0.3">
      <c r="A159" s="3">
        <v>6.1510000000000504</v>
      </c>
      <c r="B159" s="3">
        <f t="shared" si="8"/>
        <v>0</v>
      </c>
      <c r="C159" s="3">
        <f t="shared" si="9"/>
        <v>0</v>
      </c>
      <c r="D159" s="3">
        <f t="shared" si="10"/>
        <v>0</v>
      </c>
      <c r="E159" s="3">
        <f t="shared" si="11"/>
        <v>0</v>
      </c>
    </row>
    <row r="160" spans="1:5" x14ac:dyDescent="0.3">
      <c r="A160" s="3">
        <v>6.1520000000000499</v>
      </c>
      <c r="B160" s="3">
        <f t="shared" si="8"/>
        <v>0</v>
      </c>
      <c r="C160" s="3">
        <f t="shared" si="9"/>
        <v>0</v>
      </c>
      <c r="D160" s="3">
        <f t="shared" si="10"/>
        <v>0</v>
      </c>
      <c r="E160" s="3">
        <f t="shared" si="11"/>
        <v>0</v>
      </c>
    </row>
    <row r="161" spans="1:5" x14ac:dyDescent="0.3">
      <c r="A161" s="3">
        <v>6.1530000000000502</v>
      </c>
      <c r="B161" s="3">
        <f t="shared" si="8"/>
        <v>0</v>
      </c>
      <c r="C161" s="3">
        <f t="shared" si="9"/>
        <v>0</v>
      </c>
      <c r="D161" s="3">
        <f t="shared" si="10"/>
        <v>0</v>
      </c>
      <c r="E161" s="3">
        <f t="shared" si="11"/>
        <v>0</v>
      </c>
    </row>
    <row r="162" spans="1:5" x14ac:dyDescent="0.3">
      <c r="A162" s="3">
        <v>6.1540000000000497</v>
      </c>
      <c r="B162" s="3">
        <f t="shared" si="8"/>
        <v>0</v>
      </c>
      <c r="C162" s="3">
        <f t="shared" si="9"/>
        <v>0</v>
      </c>
      <c r="D162" s="3">
        <f t="shared" si="10"/>
        <v>0</v>
      </c>
      <c r="E162" s="3">
        <f t="shared" si="11"/>
        <v>0</v>
      </c>
    </row>
    <row r="163" spans="1:5" x14ac:dyDescent="0.3">
      <c r="A163" s="3">
        <v>6.15500000000005</v>
      </c>
      <c r="B163" s="3">
        <f t="shared" si="8"/>
        <v>0</v>
      </c>
      <c r="C163" s="3">
        <f t="shared" si="9"/>
        <v>0</v>
      </c>
      <c r="D163" s="3">
        <f t="shared" si="10"/>
        <v>0</v>
      </c>
      <c r="E163" s="3">
        <f t="shared" si="11"/>
        <v>0</v>
      </c>
    </row>
    <row r="164" spans="1:5" x14ac:dyDescent="0.3">
      <c r="A164" s="3">
        <v>6.1560000000000503</v>
      </c>
      <c r="B164" s="3">
        <f t="shared" si="8"/>
        <v>0</v>
      </c>
      <c r="C164" s="3">
        <f t="shared" si="9"/>
        <v>0</v>
      </c>
      <c r="D164" s="3">
        <f t="shared" si="10"/>
        <v>0</v>
      </c>
      <c r="E164" s="3">
        <f t="shared" si="11"/>
        <v>0</v>
      </c>
    </row>
    <row r="165" spans="1:5" x14ac:dyDescent="0.3">
      <c r="A165" s="3">
        <v>6.1570000000000498</v>
      </c>
      <c r="B165" s="3">
        <f t="shared" si="8"/>
        <v>0</v>
      </c>
      <c r="C165" s="3">
        <f t="shared" si="9"/>
        <v>0</v>
      </c>
      <c r="D165" s="3">
        <f t="shared" si="10"/>
        <v>0</v>
      </c>
      <c r="E165" s="3">
        <f t="shared" si="11"/>
        <v>0</v>
      </c>
    </row>
    <row r="166" spans="1:5" x14ac:dyDescent="0.3">
      <c r="A166" s="3">
        <v>6.1580000000000501</v>
      </c>
      <c r="B166" s="3">
        <f t="shared" si="8"/>
        <v>0</v>
      </c>
      <c r="C166" s="3">
        <f t="shared" si="9"/>
        <v>0</v>
      </c>
      <c r="D166" s="3">
        <f t="shared" si="10"/>
        <v>0</v>
      </c>
      <c r="E166" s="3">
        <f t="shared" si="11"/>
        <v>0</v>
      </c>
    </row>
    <row r="167" spans="1:5" x14ac:dyDescent="0.3">
      <c r="A167" s="3">
        <v>6.1590000000000504</v>
      </c>
      <c r="B167" s="3">
        <f t="shared" si="8"/>
        <v>0</v>
      </c>
      <c r="C167" s="3">
        <f t="shared" si="9"/>
        <v>0</v>
      </c>
      <c r="D167" s="3">
        <f t="shared" si="10"/>
        <v>0</v>
      </c>
      <c r="E167" s="3">
        <f t="shared" si="11"/>
        <v>0</v>
      </c>
    </row>
    <row r="168" spans="1:5" x14ac:dyDescent="0.3">
      <c r="A168" s="3">
        <v>6.1600000000000499</v>
      </c>
      <c r="B168" s="3">
        <f t="shared" si="8"/>
        <v>0</v>
      </c>
      <c r="C168" s="3">
        <f t="shared" si="9"/>
        <v>0</v>
      </c>
      <c r="D168" s="3">
        <f t="shared" si="10"/>
        <v>0</v>
      </c>
      <c r="E168" s="3">
        <f t="shared" si="11"/>
        <v>0</v>
      </c>
    </row>
    <row r="169" spans="1:5" x14ac:dyDescent="0.3">
      <c r="A169" s="3">
        <v>6.1610000000000502</v>
      </c>
      <c r="B169" s="3">
        <f t="shared" si="8"/>
        <v>0</v>
      </c>
      <c r="C169" s="3">
        <f t="shared" si="9"/>
        <v>0</v>
      </c>
      <c r="D169" s="3">
        <f t="shared" si="10"/>
        <v>0</v>
      </c>
      <c r="E169" s="3">
        <f t="shared" si="11"/>
        <v>0</v>
      </c>
    </row>
    <row r="170" spans="1:5" x14ac:dyDescent="0.3">
      <c r="A170" s="3">
        <v>6.1620000000000497</v>
      </c>
      <c r="B170" s="3">
        <f t="shared" si="8"/>
        <v>0</v>
      </c>
      <c r="C170" s="3">
        <f t="shared" si="9"/>
        <v>0</v>
      </c>
      <c r="D170" s="3">
        <f t="shared" si="10"/>
        <v>0</v>
      </c>
      <c r="E170" s="3">
        <f t="shared" si="11"/>
        <v>0</v>
      </c>
    </row>
    <row r="171" spans="1:5" x14ac:dyDescent="0.3">
      <c r="A171" s="3">
        <v>6.16300000000005</v>
      </c>
      <c r="B171" s="3">
        <f t="shared" si="8"/>
        <v>0</v>
      </c>
      <c r="C171" s="3">
        <f t="shared" si="9"/>
        <v>0</v>
      </c>
      <c r="D171" s="3">
        <f t="shared" si="10"/>
        <v>0</v>
      </c>
      <c r="E171" s="3">
        <f t="shared" si="11"/>
        <v>0</v>
      </c>
    </row>
    <row r="172" spans="1:5" x14ac:dyDescent="0.3">
      <c r="A172" s="3">
        <v>6.1640000000000503</v>
      </c>
      <c r="B172" s="3">
        <f t="shared" si="8"/>
        <v>0</v>
      </c>
      <c r="C172" s="3">
        <f t="shared" si="9"/>
        <v>0</v>
      </c>
      <c r="D172" s="3">
        <f t="shared" si="10"/>
        <v>0</v>
      </c>
      <c r="E172" s="3">
        <f t="shared" si="11"/>
        <v>0</v>
      </c>
    </row>
    <row r="173" spans="1:5" x14ac:dyDescent="0.3">
      <c r="A173" s="3">
        <v>6.1650000000000604</v>
      </c>
      <c r="B173" s="3">
        <f t="shared" si="8"/>
        <v>0</v>
      </c>
      <c r="C173" s="3">
        <f t="shared" si="9"/>
        <v>0</v>
      </c>
      <c r="D173" s="3">
        <f t="shared" si="10"/>
        <v>0</v>
      </c>
      <c r="E173" s="3">
        <f t="shared" si="11"/>
        <v>0</v>
      </c>
    </row>
    <row r="174" spans="1:5" x14ac:dyDescent="0.3">
      <c r="A174" s="3">
        <v>6.1660000000000599</v>
      </c>
      <c r="B174" s="3">
        <f t="shared" si="8"/>
        <v>0</v>
      </c>
      <c r="C174" s="3">
        <f t="shared" si="9"/>
        <v>0</v>
      </c>
      <c r="D174" s="3">
        <f t="shared" si="10"/>
        <v>0</v>
      </c>
      <c r="E174" s="3">
        <f t="shared" si="11"/>
        <v>0</v>
      </c>
    </row>
    <row r="175" spans="1:5" x14ac:dyDescent="0.3">
      <c r="A175" s="3">
        <v>6.1670000000000602</v>
      </c>
      <c r="B175" s="3">
        <f t="shared" si="8"/>
        <v>0</v>
      </c>
      <c r="C175" s="3">
        <f t="shared" si="9"/>
        <v>0</v>
      </c>
      <c r="D175" s="3">
        <f t="shared" si="10"/>
        <v>0</v>
      </c>
      <c r="E175" s="3">
        <f t="shared" si="11"/>
        <v>0</v>
      </c>
    </row>
    <row r="176" spans="1:5" x14ac:dyDescent="0.3">
      <c r="A176" s="3">
        <v>6.1680000000000597</v>
      </c>
      <c r="B176" s="3">
        <f t="shared" si="8"/>
        <v>0</v>
      </c>
      <c r="C176" s="3">
        <f t="shared" si="9"/>
        <v>0</v>
      </c>
      <c r="D176" s="3">
        <f t="shared" si="10"/>
        <v>0</v>
      </c>
      <c r="E176" s="3">
        <f t="shared" si="11"/>
        <v>0</v>
      </c>
    </row>
    <row r="177" spans="1:5" x14ac:dyDescent="0.3">
      <c r="A177" s="3">
        <v>6.16900000000006</v>
      </c>
      <c r="B177" s="3">
        <f t="shared" si="8"/>
        <v>0</v>
      </c>
      <c r="C177" s="3">
        <f t="shared" si="9"/>
        <v>0</v>
      </c>
      <c r="D177" s="3">
        <f t="shared" si="10"/>
        <v>0</v>
      </c>
      <c r="E177" s="3">
        <f t="shared" si="11"/>
        <v>0</v>
      </c>
    </row>
    <row r="178" spans="1:5" x14ac:dyDescent="0.3">
      <c r="A178" s="3">
        <v>6.1700000000000603</v>
      </c>
      <c r="B178" s="3">
        <f t="shared" si="8"/>
        <v>0</v>
      </c>
      <c r="C178" s="3">
        <f t="shared" si="9"/>
        <v>0</v>
      </c>
      <c r="D178" s="3">
        <f t="shared" si="10"/>
        <v>0</v>
      </c>
      <c r="E178" s="3">
        <f t="shared" si="11"/>
        <v>0</v>
      </c>
    </row>
    <row r="179" spans="1:5" x14ac:dyDescent="0.3">
      <c r="A179" s="3">
        <v>6.1710000000000598</v>
      </c>
      <c r="B179" s="3">
        <f t="shared" si="8"/>
        <v>0</v>
      </c>
      <c r="C179" s="3">
        <f t="shared" si="9"/>
        <v>0</v>
      </c>
      <c r="D179" s="3">
        <f t="shared" si="10"/>
        <v>0</v>
      </c>
      <c r="E179" s="3">
        <f t="shared" si="11"/>
        <v>0</v>
      </c>
    </row>
    <row r="180" spans="1:5" x14ac:dyDescent="0.3">
      <c r="A180" s="3">
        <v>6.1720000000000601</v>
      </c>
      <c r="B180" s="3">
        <f t="shared" si="8"/>
        <v>0</v>
      </c>
      <c r="C180" s="3">
        <f t="shared" si="9"/>
        <v>0</v>
      </c>
      <c r="D180" s="3">
        <f t="shared" si="10"/>
        <v>0</v>
      </c>
      <c r="E180" s="3">
        <f t="shared" si="11"/>
        <v>0</v>
      </c>
    </row>
    <row r="181" spans="1:5" x14ac:dyDescent="0.3">
      <c r="A181" s="3">
        <v>6.1730000000000604</v>
      </c>
      <c r="B181" s="3">
        <f t="shared" si="8"/>
        <v>0</v>
      </c>
      <c r="C181" s="3">
        <f t="shared" si="9"/>
        <v>0</v>
      </c>
      <c r="D181" s="3">
        <f t="shared" si="10"/>
        <v>0</v>
      </c>
      <c r="E181" s="3">
        <f t="shared" si="11"/>
        <v>0</v>
      </c>
    </row>
    <row r="182" spans="1:5" x14ac:dyDescent="0.3">
      <c r="A182" s="3">
        <v>6.1740000000000599</v>
      </c>
      <c r="B182" s="3">
        <f t="shared" si="8"/>
        <v>0</v>
      </c>
      <c r="C182" s="3">
        <f t="shared" si="9"/>
        <v>0</v>
      </c>
      <c r="D182" s="3">
        <f t="shared" si="10"/>
        <v>0</v>
      </c>
      <c r="E182" s="3">
        <f t="shared" si="11"/>
        <v>0</v>
      </c>
    </row>
    <row r="183" spans="1:5" x14ac:dyDescent="0.3">
      <c r="A183" s="3">
        <v>6.1750000000000602</v>
      </c>
      <c r="B183" s="3">
        <f t="shared" si="8"/>
        <v>0</v>
      </c>
      <c r="C183" s="3">
        <f t="shared" si="9"/>
        <v>0</v>
      </c>
      <c r="D183" s="3">
        <f t="shared" si="10"/>
        <v>0</v>
      </c>
      <c r="E183" s="3">
        <f t="shared" si="11"/>
        <v>0</v>
      </c>
    </row>
    <row r="184" spans="1:5" x14ac:dyDescent="0.3">
      <c r="A184" s="3">
        <v>6.1760000000000597</v>
      </c>
      <c r="B184" s="3">
        <f t="shared" si="8"/>
        <v>0</v>
      </c>
      <c r="C184" s="3">
        <f t="shared" si="9"/>
        <v>0</v>
      </c>
      <c r="D184" s="3">
        <f t="shared" si="10"/>
        <v>0</v>
      </c>
      <c r="E184" s="3">
        <f t="shared" si="11"/>
        <v>0</v>
      </c>
    </row>
    <row r="185" spans="1:5" x14ac:dyDescent="0.3">
      <c r="A185" s="3">
        <v>6.17700000000006</v>
      </c>
      <c r="B185" s="3">
        <f t="shared" si="8"/>
        <v>0</v>
      </c>
      <c r="C185" s="3">
        <f t="shared" si="9"/>
        <v>0</v>
      </c>
      <c r="D185" s="3">
        <f t="shared" si="10"/>
        <v>0</v>
      </c>
      <c r="E185" s="3">
        <f t="shared" si="11"/>
        <v>0</v>
      </c>
    </row>
    <row r="186" spans="1:5" x14ac:dyDescent="0.3">
      <c r="A186" s="3">
        <v>6.1780000000000603</v>
      </c>
      <c r="B186" s="3">
        <f t="shared" si="8"/>
        <v>0</v>
      </c>
      <c r="C186" s="3">
        <f t="shared" si="9"/>
        <v>0</v>
      </c>
      <c r="D186" s="3">
        <f t="shared" si="10"/>
        <v>0</v>
      </c>
      <c r="E186" s="3">
        <f t="shared" si="11"/>
        <v>0</v>
      </c>
    </row>
    <row r="187" spans="1:5" x14ac:dyDescent="0.3">
      <c r="A187" s="3">
        <v>6.1790000000000598</v>
      </c>
      <c r="B187" s="3">
        <f t="shared" si="8"/>
        <v>0</v>
      </c>
      <c r="C187" s="3">
        <f t="shared" si="9"/>
        <v>0</v>
      </c>
      <c r="D187" s="3">
        <f t="shared" si="10"/>
        <v>0</v>
      </c>
      <c r="E187" s="3">
        <f t="shared" si="11"/>
        <v>0</v>
      </c>
    </row>
    <row r="188" spans="1:5" x14ac:dyDescent="0.3">
      <c r="A188" s="3">
        <v>6.1800000000000601</v>
      </c>
      <c r="B188" s="3">
        <f t="shared" si="8"/>
        <v>0</v>
      </c>
      <c r="C188" s="3">
        <f t="shared" si="9"/>
        <v>-6.0396132539608516E-14</v>
      </c>
      <c r="D188" s="3">
        <f t="shared" si="10"/>
        <v>-0.12</v>
      </c>
      <c r="E188" s="3">
        <f t="shared" si="11"/>
        <v>-0.12000000000006039</v>
      </c>
    </row>
    <row r="189" spans="1:5" x14ac:dyDescent="0.3">
      <c r="A189" s="3">
        <v>6.1810000000000596</v>
      </c>
      <c r="B189" s="3">
        <f t="shared" si="8"/>
        <v>0</v>
      </c>
      <c r="C189" s="3">
        <f t="shared" si="9"/>
        <v>-1.0000000000598419E-3</v>
      </c>
      <c r="D189" s="3">
        <f t="shared" si="10"/>
        <v>-0.12</v>
      </c>
      <c r="E189" s="3">
        <f t="shared" si="11"/>
        <v>-0.12100000000005984</v>
      </c>
    </row>
    <row r="190" spans="1:5" x14ac:dyDescent="0.3">
      <c r="A190" s="3">
        <v>6.1820000000000599</v>
      </c>
      <c r="B190" s="3">
        <f t="shared" si="8"/>
        <v>0</v>
      </c>
      <c r="C190" s="3">
        <f t="shared" si="9"/>
        <v>-2.0000000000601759E-3</v>
      </c>
      <c r="D190" s="3">
        <f t="shared" si="10"/>
        <v>-0.12</v>
      </c>
      <c r="E190" s="3">
        <f t="shared" si="11"/>
        <v>-0.12200000000006017</v>
      </c>
    </row>
    <row r="191" spans="1:5" x14ac:dyDescent="0.3">
      <c r="A191" s="3">
        <v>6.1830000000000602</v>
      </c>
      <c r="B191" s="3">
        <f t="shared" si="8"/>
        <v>0</v>
      </c>
      <c r="C191" s="3">
        <f t="shared" si="9"/>
        <v>-3.0000000000605098E-3</v>
      </c>
      <c r="D191" s="3">
        <f t="shared" si="10"/>
        <v>-0.12</v>
      </c>
      <c r="E191" s="3">
        <f t="shared" si="11"/>
        <v>-0.12300000000006051</v>
      </c>
    </row>
    <row r="192" spans="1:5" x14ac:dyDescent="0.3">
      <c r="A192" s="3">
        <v>6.1840000000000597</v>
      </c>
      <c r="B192" s="3">
        <f t="shared" si="8"/>
        <v>0</v>
      </c>
      <c r="C192" s="3">
        <f t="shared" si="9"/>
        <v>-4.0000000000599556E-3</v>
      </c>
      <c r="D192" s="3">
        <f t="shared" si="10"/>
        <v>-0.12</v>
      </c>
      <c r="E192" s="3">
        <f t="shared" si="11"/>
        <v>-0.12400000000005995</v>
      </c>
    </row>
    <row r="193" spans="1:5" x14ac:dyDescent="0.3">
      <c r="A193" s="3">
        <v>6.18500000000006</v>
      </c>
      <c r="B193" s="3">
        <f t="shared" si="8"/>
        <v>0</v>
      </c>
      <c r="C193" s="3">
        <f t="shared" si="9"/>
        <v>-5.0000000000602896E-3</v>
      </c>
      <c r="D193" s="3">
        <f t="shared" si="10"/>
        <v>-0.12</v>
      </c>
      <c r="E193" s="3">
        <f t="shared" si="11"/>
        <v>-0.12500000000006029</v>
      </c>
    </row>
    <row r="194" spans="1:5" x14ac:dyDescent="0.3">
      <c r="A194" s="3">
        <v>6.1860000000000603</v>
      </c>
      <c r="B194" s="3">
        <f t="shared" si="8"/>
        <v>0</v>
      </c>
      <c r="C194" s="3">
        <f t="shared" si="9"/>
        <v>-6.0000000000606235E-3</v>
      </c>
      <c r="D194" s="3">
        <f t="shared" si="10"/>
        <v>-0.12</v>
      </c>
      <c r="E194" s="3">
        <f t="shared" si="11"/>
        <v>-0.12600000000006062</v>
      </c>
    </row>
    <row r="195" spans="1:5" x14ac:dyDescent="0.3">
      <c r="A195" s="3">
        <v>6.1870000000000598</v>
      </c>
      <c r="B195" s="3">
        <f t="shared" si="8"/>
        <v>0</v>
      </c>
      <c r="C195" s="3">
        <f t="shared" si="9"/>
        <v>-7.0000000000600693E-3</v>
      </c>
      <c r="D195" s="3">
        <f t="shared" si="10"/>
        <v>-0.12</v>
      </c>
      <c r="E195" s="3">
        <f t="shared" si="11"/>
        <v>-0.12700000000006006</v>
      </c>
    </row>
    <row r="196" spans="1:5" x14ac:dyDescent="0.3">
      <c r="A196" s="3">
        <v>6.1880000000000601</v>
      </c>
      <c r="B196" s="3">
        <f t="shared" si="8"/>
        <v>0</v>
      </c>
      <c r="C196" s="3">
        <f t="shared" si="9"/>
        <v>-8.0000000000604032E-3</v>
      </c>
      <c r="D196" s="3">
        <f t="shared" si="10"/>
        <v>-0.12</v>
      </c>
      <c r="E196" s="3">
        <f t="shared" si="11"/>
        <v>-0.1280000000000604</v>
      </c>
    </row>
    <row r="197" spans="1:5" x14ac:dyDescent="0.3">
      <c r="A197" s="3">
        <v>6.1890000000000596</v>
      </c>
      <c r="B197" s="3">
        <f t="shared" si="8"/>
        <v>0</v>
      </c>
      <c r="C197" s="3">
        <f t="shared" si="9"/>
        <v>-9.000000000059849E-3</v>
      </c>
      <c r="D197" s="3">
        <f t="shared" si="10"/>
        <v>-0.12</v>
      </c>
      <c r="E197" s="3">
        <f t="shared" si="11"/>
        <v>-0.12900000000005984</v>
      </c>
    </row>
    <row r="198" spans="1:5" x14ac:dyDescent="0.3">
      <c r="A198" s="3">
        <v>6.1900000000000599</v>
      </c>
      <c r="B198" s="3">
        <f t="shared" si="8"/>
        <v>0</v>
      </c>
      <c r="C198" s="3">
        <f t="shared" si="9"/>
        <v>-1.0000000000060183E-2</v>
      </c>
      <c r="D198" s="3">
        <f t="shared" si="10"/>
        <v>-0.12</v>
      </c>
      <c r="E198" s="3">
        <f t="shared" si="11"/>
        <v>-0.13000000000006018</v>
      </c>
    </row>
    <row r="199" spans="1:5" x14ac:dyDescent="0.3">
      <c r="A199" s="3">
        <v>6.1910000000000602</v>
      </c>
      <c r="B199" s="3">
        <f t="shared" si="8"/>
        <v>0</v>
      </c>
      <c r="C199" s="3">
        <f t="shared" si="9"/>
        <v>-1.1000000000060517E-2</v>
      </c>
      <c r="D199" s="3">
        <f t="shared" si="10"/>
        <v>-0.12</v>
      </c>
      <c r="E199" s="3">
        <f t="shared" si="11"/>
        <v>-0.13100000000006051</v>
      </c>
    </row>
    <row r="200" spans="1:5" x14ac:dyDescent="0.3">
      <c r="A200" s="3">
        <v>6.1920000000000597</v>
      </c>
      <c r="B200" s="3">
        <f t="shared" si="8"/>
        <v>0</v>
      </c>
      <c r="C200" s="3">
        <f t="shared" si="9"/>
        <v>-1.2000000000059963E-2</v>
      </c>
      <c r="D200" s="3">
        <f t="shared" si="10"/>
        <v>-0.12</v>
      </c>
      <c r="E200" s="3">
        <f t="shared" si="11"/>
        <v>-0.13200000000005996</v>
      </c>
    </row>
    <row r="201" spans="1:5" x14ac:dyDescent="0.3">
      <c r="A201" s="3">
        <v>6.19300000000006</v>
      </c>
      <c r="B201" s="3">
        <f t="shared" ref="B201:B264" si="12">MAX($B$2-A201,0)</f>
        <v>0</v>
      </c>
      <c r="C201" s="3">
        <f t="shared" ref="C201:C264" si="13">MAX(A201-$B$3,0)*(-1)</f>
        <v>-1.3000000000060297E-2</v>
      </c>
      <c r="D201" s="3">
        <f t="shared" ref="D201:D264" si="14">IF(A201&gt;6.18,0.06,0)*(-2)</f>
        <v>-0.12</v>
      </c>
      <c r="E201" s="3">
        <f t="shared" ref="E201:E264" si="15">SUM(B201:D201)</f>
        <v>-0.13300000000006029</v>
      </c>
    </row>
    <row r="202" spans="1:5" x14ac:dyDescent="0.3">
      <c r="A202" s="3">
        <v>6.1940000000000603</v>
      </c>
      <c r="B202" s="3">
        <f t="shared" si="12"/>
        <v>0</v>
      </c>
      <c r="C202" s="3">
        <f t="shared" si="13"/>
        <v>-1.4000000000060631E-2</v>
      </c>
      <c r="D202" s="3">
        <f t="shared" si="14"/>
        <v>-0.12</v>
      </c>
      <c r="E202" s="3">
        <f t="shared" si="15"/>
        <v>-0.13400000000006063</v>
      </c>
    </row>
    <row r="203" spans="1:5" x14ac:dyDescent="0.3">
      <c r="A203" s="3">
        <v>6.1950000000000696</v>
      </c>
      <c r="B203" s="3">
        <f t="shared" si="12"/>
        <v>0</v>
      </c>
      <c r="C203" s="3">
        <f t="shared" si="13"/>
        <v>-1.5000000000069846E-2</v>
      </c>
      <c r="D203" s="3">
        <f t="shared" si="14"/>
        <v>-0.12</v>
      </c>
      <c r="E203" s="3">
        <f t="shared" si="15"/>
        <v>-0.13500000000006984</v>
      </c>
    </row>
    <row r="204" spans="1:5" x14ac:dyDescent="0.3">
      <c r="A204" s="3">
        <v>6.1960000000000699</v>
      </c>
      <c r="B204" s="3">
        <f t="shared" si="12"/>
        <v>0</v>
      </c>
      <c r="C204" s="3">
        <f t="shared" si="13"/>
        <v>-1.600000000007018E-2</v>
      </c>
      <c r="D204" s="3">
        <f t="shared" si="14"/>
        <v>-0.12</v>
      </c>
      <c r="E204" s="3">
        <f t="shared" si="15"/>
        <v>-0.13600000000007018</v>
      </c>
    </row>
    <row r="205" spans="1:5" x14ac:dyDescent="0.3">
      <c r="A205" s="3">
        <v>6.1970000000000702</v>
      </c>
      <c r="B205" s="3">
        <f t="shared" si="12"/>
        <v>0</v>
      </c>
      <c r="C205" s="3">
        <f t="shared" si="13"/>
        <v>-1.7000000000070514E-2</v>
      </c>
      <c r="D205" s="3">
        <f t="shared" si="14"/>
        <v>-0.12</v>
      </c>
      <c r="E205" s="3">
        <f t="shared" si="15"/>
        <v>-0.13700000000007051</v>
      </c>
    </row>
    <row r="206" spans="1:5" x14ac:dyDescent="0.3">
      <c r="A206" s="3">
        <v>6.1980000000000697</v>
      </c>
      <c r="B206" s="3">
        <f t="shared" si="12"/>
        <v>0</v>
      </c>
      <c r="C206" s="3">
        <f t="shared" si="13"/>
        <v>-1.800000000006996E-2</v>
      </c>
      <c r="D206" s="3">
        <f t="shared" si="14"/>
        <v>-0.12</v>
      </c>
      <c r="E206" s="3">
        <f t="shared" si="15"/>
        <v>-0.13800000000006996</v>
      </c>
    </row>
    <row r="207" spans="1:5" x14ac:dyDescent="0.3">
      <c r="A207" s="3">
        <v>6.19900000000007</v>
      </c>
      <c r="B207" s="3">
        <f t="shared" si="12"/>
        <v>0</v>
      </c>
      <c r="C207" s="3">
        <f t="shared" si="13"/>
        <v>-1.9000000000070294E-2</v>
      </c>
      <c r="D207" s="3">
        <f t="shared" si="14"/>
        <v>-0.12</v>
      </c>
      <c r="E207" s="3">
        <f t="shared" si="15"/>
        <v>-0.13900000000007029</v>
      </c>
    </row>
    <row r="208" spans="1:5" x14ac:dyDescent="0.3">
      <c r="A208" s="3">
        <v>6.2000000000000703</v>
      </c>
      <c r="B208" s="3">
        <f t="shared" si="12"/>
        <v>0</v>
      </c>
      <c r="C208" s="3">
        <f t="shared" si="13"/>
        <v>-2.0000000000070628E-2</v>
      </c>
      <c r="D208" s="3">
        <f t="shared" si="14"/>
        <v>-0.12</v>
      </c>
      <c r="E208" s="3">
        <f t="shared" si="15"/>
        <v>-0.14000000000007062</v>
      </c>
    </row>
    <row r="209" spans="1:5" x14ac:dyDescent="0.3">
      <c r="A209" s="3">
        <v>6.2010000000000698</v>
      </c>
      <c r="B209" s="3">
        <f t="shared" si="12"/>
        <v>0</v>
      </c>
      <c r="C209" s="3">
        <f t="shared" si="13"/>
        <v>-2.1000000000070074E-2</v>
      </c>
      <c r="D209" s="3">
        <f t="shared" si="14"/>
        <v>-0.12</v>
      </c>
      <c r="E209" s="3">
        <f t="shared" si="15"/>
        <v>-0.14100000000007007</v>
      </c>
    </row>
    <row r="210" spans="1:5" x14ac:dyDescent="0.3">
      <c r="A210" s="3">
        <v>6.2020000000000701</v>
      </c>
      <c r="B210" s="3">
        <f t="shared" si="12"/>
        <v>0</v>
      </c>
      <c r="C210" s="3">
        <f t="shared" si="13"/>
        <v>-2.2000000000070408E-2</v>
      </c>
      <c r="D210" s="3">
        <f t="shared" si="14"/>
        <v>-0.12</v>
      </c>
      <c r="E210" s="3">
        <f t="shared" si="15"/>
        <v>-0.1420000000000704</v>
      </c>
    </row>
    <row r="211" spans="1:5" x14ac:dyDescent="0.3">
      <c r="A211" s="3">
        <v>6.2030000000000696</v>
      </c>
      <c r="B211" s="3">
        <f t="shared" si="12"/>
        <v>0</v>
      </c>
      <c r="C211" s="3">
        <f t="shared" si="13"/>
        <v>-2.3000000000069853E-2</v>
      </c>
      <c r="D211" s="3">
        <f t="shared" si="14"/>
        <v>-0.12</v>
      </c>
      <c r="E211" s="3">
        <f t="shared" si="15"/>
        <v>-0.14300000000006985</v>
      </c>
    </row>
    <row r="212" spans="1:5" x14ac:dyDescent="0.3">
      <c r="A212" s="3">
        <v>6.2040000000000699</v>
      </c>
      <c r="B212" s="3">
        <f t="shared" si="12"/>
        <v>0</v>
      </c>
      <c r="C212" s="3">
        <f t="shared" si="13"/>
        <v>-2.4000000000070187E-2</v>
      </c>
      <c r="D212" s="3">
        <f t="shared" si="14"/>
        <v>-0.12</v>
      </c>
      <c r="E212" s="3">
        <f t="shared" si="15"/>
        <v>-0.14400000000007018</v>
      </c>
    </row>
    <row r="213" spans="1:5" x14ac:dyDescent="0.3">
      <c r="A213" s="3">
        <v>6.2050000000000702</v>
      </c>
      <c r="B213" s="3">
        <f t="shared" si="12"/>
        <v>0</v>
      </c>
      <c r="C213" s="3">
        <f t="shared" si="13"/>
        <v>-2.5000000000070521E-2</v>
      </c>
      <c r="D213" s="3">
        <f t="shared" si="14"/>
        <v>-0.12</v>
      </c>
      <c r="E213" s="3">
        <f t="shared" si="15"/>
        <v>-0.14500000000007052</v>
      </c>
    </row>
    <row r="214" spans="1:5" x14ac:dyDescent="0.3">
      <c r="A214" s="3">
        <v>6.2060000000000697</v>
      </c>
      <c r="B214" s="3">
        <f t="shared" si="12"/>
        <v>0</v>
      </c>
      <c r="C214" s="3">
        <f t="shared" si="13"/>
        <v>-2.6000000000069967E-2</v>
      </c>
      <c r="D214" s="3">
        <f t="shared" si="14"/>
        <v>-0.12</v>
      </c>
      <c r="E214" s="3">
        <f t="shared" si="15"/>
        <v>-0.14600000000006996</v>
      </c>
    </row>
    <row r="215" spans="1:5" x14ac:dyDescent="0.3">
      <c r="A215" s="3">
        <v>6.20700000000007</v>
      </c>
      <c r="B215" s="3">
        <f t="shared" si="12"/>
        <v>0</v>
      </c>
      <c r="C215" s="3">
        <f t="shared" si="13"/>
        <v>-2.7000000000070301E-2</v>
      </c>
      <c r="D215" s="3">
        <f t="shared" si="14"/>
        <v>-0.12</v>
      </c>
      <c r="E215" s="3">
        <f t="shared" si="15"/>
        <v>-0.1470000000000703</v>
      </c>
    </row>
    <row r="216" spans="1:5" x14ac:dyDescent="0.3">
      <c r="A216" s="3">
        <v>6.2080000000000704</v>
      </c>
      <c r="B216" s="3">
        <f t="shared" si="12"/>
        <v>0</v>
      </c>
      <c r="C216" s="3">
        <f t="shared" si="13"/>
        <v>-2.8000000000070635E-2</v>
      </c>
      <c r="D216" s="3">
        <f t="shared" si="14"/>
        <v>-0.12</v>
      </c>
      <c r="E216" s="3">
        <f t="shared" si="15"/>
        <v>-0.14800000000007063</v>
      </c>
    </row>
    <row r="217" spans="1:5" x14ac:dyDescent="0.3">
      <c r="A217" s="3">
        <v>6.2090000000000698</v>
      </c>
      <c r="B217" s="3">
        <f t="shared" si="12"/>
        <v>0</v>
      </c>
      <c r="C217" s="3">
        <f t="shared" si="13"/>
        <v>-2.9000000000070081E-2</v>
      </c>
      <c r="D217" s="3">
        <f t="shared" si="14"/>
        <v>-0.12</v>
      </c>
      <c r="E217" s="3">
        <f t="shared" si="15"/>
        <v>-0.14900000000007008</v>
      </c>
    </row>
    <row r="218" spans="1:5" x14ac:dyDescent="0.3">
      <c r="A218" s="3">
        <v>6.2100000000000701</v>
      </c>
      <c r="B218" s="3">
        <f t="shared" si="12"/>
        <v>0</v>
      </c>
      <c r="C218" s="3">
        <f t="shared" si="13"/>
        <v>-3.0000000000070415E-2</v>
      </c>
      <c r="D218" s="3">
        <f t="shared" si="14"/>
        <v>-0.12</v>
      </c>
      <c r="E218" s="3">
        <f t="shared" si="15"/>
        <v>-0.15000000000007041</v>
      </c>
    </row>
    <row r="219" spans="1:5" x14ac:dyDescent="0.3">
      <c r="A219" s="3">
        <v>6.2110000000000696</v>
      </c>
      <c r="B219" s="3">
        <f t="shared" si="12"/>
        <v>0</v>
      </c>
      <c r="C219" s="3">
        <f t="shared" si="13"/>
        <v>-3.1000000000069861E-2</v>
      </c>
      <c r="D219" s="3">
        <f t="shared" si="14"/>
        <v>-0.12</v>
      </c>
      <c r="E219" s="3">
        <f t="shared" si="15"/>
        <v>-0.15100000000006986</v>
      </c>
    </row>
    <row r="220" spans="1:5" x14ac:dyDescent="0.3">
      <c r="A220" s="3">
        <v>6.2120000000000699</v>
      </c>
      <c r="B220" s="3">
        <f t="shared" si="12"/>
        <v>0</v>
      </c>
      <c r="C220" s="3">
        <f t="shared" si="13"/>
        <v>-3.2000000000070195E-2</v>
      </c>
      <c r="D220" s="3">
        <f t="shared" si="14"/>
        <v>-0.12</v>
      </c>
      <c r="E220" s="3">
        <f t="shared" si="15"/>
        <v>-0.15200000000007019</v>
      </c>
    </row>
    <row r="221" spans="1:5" x14ac:dyDescent="0.3">
      <c r="A221" s="3">
        <v>6.2130000000000702</v>
      </c>
      <c r="B221" s="3">
        <f t="shared" si="12"/>
        <v>0</v>
      </c>
      <c r="C221" s="3">
        <f t="shared" si="13"/>
        <v>-3.3000000000070528E-2</v>
      </c>
      <c r="D221" s="3">
        <f t="shared" si="14"/>
        <v>-0.12</v>
      </c>
      <c r="E221" s="3">
        <f t="shared" si="15"/>
        <v>-0.15300000000007052</v>
      </c>
    </row>
    <row r="222" spans="1:5" x14ac:dyDescent="0.3">
      <c r="A222" s="3">
        <v>6.2140000000000697</v>
      </c>
      <c r="B222" s="3">
        <f t="shared" si="12"/>
        <v>0</v>
      </c>
      <c r="C222" s="3">
        <f t="shared" si="13"/>
        <v>-3.4000000000069974E-2</v>
      </c>
      <c r="D222" s="3">
        <f t="shared" si="14"/>
        <v>-0.12</v>
      </c>
      <c r="E222" s="3">
        <f t="shared" si="15"/>
        <v>-0.15400000000006997</v>
      </c>
    </row>
    <row r="223" spans="1:5" x14ac:dyDescent="0.3">
      <c r="A223" s="3">
        <v>6.21500000000007</v>
      </c>
      <c r="B223" s="3">
        <f t="shared" si="12"/>
        <v>0</v>
      </c>
      <c r="C223" s="3">
        <f t="shared" si="13"/>
        <v>-3.5000000000070308E-2</v>
      </c>
      <c r="D223" s="3">
        <f t="shared" si="14"/>
        <v>-0.12</v>
      </c>
      <c r="E223" s="3">
        <f t="shared" si="15"/>
        <v>-0.1550000000000703</v>
      </c>
    </row>
    <row r="224" spans="1:5" x14ac:dyDescent="0.3">
      <c r="A224" s="3">
        <v>6.2160000000000704</v>
      </c>
      <c r="B224" s="3">
        <f t="shared" si="12"/>
        <v>0</v>
      </c>
      <c r="C224" s="3">
        <f t="shared" si="13"/>
        <v>-3.6000000000070642E-2</v>
      </c>
      <c r="D224" s="3">
        <f t="shared" si="14"/>
        <v>-0.12</v>
      </c>
      <c r="E224" s="3">
        <f t="shared" si="15"/>
        <v>-0.15600000000007064</v>
      </c>
    </row>
    <row r="225" spans="1:5" x14ac:dyDescent="0.3">
      <c r="A225" s="3">
        <v>6.2170000000000698</v>
      </c>
      <c r="B225" s="3">
        <f t="shared" si="12"/>
        <v>0</v>
      </c>
      <c r="C225" s="3">
        <f t="shared" si="13"/>
        <v>-3.7000000000070088E-2</v>
      </c>
      <c r="D225" s="3">
        <f t="shared" si="14"/>
        <v>-0.12</v>
      </c>
      <c r="E225" s="3">
        <f t="shared" si="15"/>
        <v>-0.15700000000007008</v>
      </c>
    </row>
    <row r="226" spans="1:5" x14ac:dyDescent="0.3">
      <c r="A226" s="3">
        <v>6.2180000000000701</v>
      </c>
      <c r="B226" s="3">
        <f t="shared" si="12"/>
        <v>0</v>
      </c>
      <c r="C226" s="3">
        <f t="shared" si="13"/>
        <v>-3.8000000000070422E-2</v>
      </c>
      <c r="D226" s="3">
        <f t="shared" si="14"/>
        <v>-0.12</v>
      </c>
      <c r="E226" s="3">
        <f t="shared" si="15"/>
        <v>-0.15800000000007042</v>
      </c>
    </row>
    <row r="227" spans="1:5" x14ac:dyDescent="0.3">
      <c r="A227" s="3">
        <v>6.2190000000000696</v>
      </c>
      <c r="B227" s="3">
        <f t="shared" si="12"/>
        <v>0</v>
      </c>
      <c r="C227" s="3">
        <f t="shared" si="13"/>
        <v>-3.9000000000069868E-2</v>
      </c>
      <c r="D227" s="3">
        <f t="shared" si="14"/>
        <v>-0.12</v>
      </c>
      <c r="E227" s="3">
        <f t="shared" si="15"/>
        <v>-0.15900000000006986</v>
      </c>
    </row>
    <row r="228" spans="1:5" x14ac:dyDescent="0.3">
      <c r="A228" s="3">
        <v>6.2200000000000699</v>
      </c>
      <c r="B228" s="3">
        <f t="shared" si="12"/>
        <v>0</v>
      </c>
      <c r="C228" s="3">
        <f t="shared" si="13"/>
        <v>-4.0000000000070202E-2</v>
      </c>
      <c r="D228" s="3">
        <f t="shared" si="14"/>
        <v>-0.12</v>
      </c>
      <c r="E228" s="3">
        <f t="shared" si="15"/>
        <v>-0.1600000000000702</v>
      </c>
    </row>
    <row r="229" spans="1:5" x14ac:dyDescent="0.3">
      <c r="A229" s="3">
        <v>6.2210000000000703</v>
      </c>
      <c r="B229" s="3">
        <f t="shared" si="12"/>
        <v>0</v>
      </c>
      <c r="C229" s="3">
        <f t="shared" si="13"/>
        <v>-4.1000000000070536E-2</v>
      </c>
      <c r="D229" s="3">
        <f t="shared" si="14"/>
        <v>-0.12</v>
      </c>
      <c r="E229" s="3">
        <f t="shared" si="15"/>
        <v>-0.16100000000007053</v>
      </c>
    </row>
    <row r="230" spans="1:5" x14ac:dyDescent="0.3">
      <c r="A230" s="3">
        <v>6.2220000000000697</v>
      </c>
      <c r="B230" s="3">
        <f t="shared" si="12"/>
        <v>0</v>
      </c>
      <c r="C230" s="3">
        <f t="shared" si="13"/>
        <v>-4.2000000000069981E-2</v>
      </c>
      <c r="D230" s="3">
        <f t="shared" si="14"/>
        <v>-0.12</v>
      </c>
      <c r="E230" s="3">
        <f t="shared" si="15"/>
        <v>-0.16200000000006998</v>
      </c>
    </row>
    <row r="231" spans="1:5" x14ac:dyDescent="0.3">
      <c r="A231" s="3">
        <v>6.22300000000007</v>
      </c>
      <c r="B231" s="3">
        <f t="shared" si="12"/>
        <v>0</v>
      </c>
      <c r="C231" s="3">
        <f t="shared" si="13"/>
        <v>-4.3000000000070315E-2</v>
      </c>
      <c r="D231" s="3">
        <f t="shared" si="14"/>
        <v>-0.12</v>
      </c>
      <c r="E231" s="3">
        <f t="shared" si="15"/>
        <v>-0.16300000000007031</v>
      </c>
    </row>
    <row r="232" spans="1:5" x14ac:dyDescent="0.3">
      <c r="A232" s="3">
        <v>6.2240000000000704</v>
      </c>
      <c r="B232" s="3">
        <f t="shared" si="12"/>
        <v>0</v>
      </c>
      <c r="C232" s="3">
        <f t="shared" si="13"/>
        <v>-4.4000000000070649E-2</v>
      </c>
      <c r="D232" s="3">
        <f t="shared" si="14"/>
        <v>-0.12</v>
      </c>
      <c r="E232" s="3">
        <f t="shared" si="15"/>
        <v>-0.16400000000007064</v>
      </c>
    </row>
    <row r="233" spans="1:5" x14ac:dyDescent="0.3">
      <c r="A233" s="3">
        <v>6.2250000000000796</v>
      </c>
      <c r="B233" s="3">
        <f t="shared" si="12"/>
        <v>0</v>
      </c>
      <c r="C233" s="3">
        <f t="shared" si="13"/>
        <v>-4.5000000000079865E-2</v>
      </c>
      <c r="D233" s="3">
        <f t="shared" si="14"/>
        <v>-0.12</v>
      </c>
      <c r="E233" s="3">
        <f t="shared" si="15"/>
        <v>-0.16500000000007986</v>
      </c>
    </row>
    <row r="234" spans="1:5" x14ac:dyDescent="0.3">
      <c r="A234" s="3">
        <v>6.2260000000000701</v>
      </c>
      <c r="B234" s="3">
        <f t="shared" si="12"/>
        <v>0</v>
      </c>
      <c r="C234" s="3">
        <f t="shared" si="13"/>
        <v>-4.6000000000070429E-2</v>
      </c>
      <c r="D234" s="3">
        <f t="shared" si="14"/>
        <v>-0.12</v>
      </c>
      <c r="E234" s="3">
        <f t="shared" si="15"/>
        <v>-0.16600000000007042</v>
      </c>
    </row>
    <row r="235" spans="1:5" x14ac:dyDescent="0.3">
      <c r="A235" s="3">
        <v>6.2270000000000802</v>
      </c>
      <c r="B235" s="3">
        <f t="shared" si="12"/>
        <v>0</v>
      </c>
      <c r="C235" s="3">
        <f t="shared" si="13"/>
        <v>-4.7000000000080533E-2</v>
      </c>
      <c r="D235" s="3">
        <f t="shared" si="14"/>
        <v>-0.12</v>
      </c>
      <c r="E235" s="3">
        <f t="shared" si="15"/>
        <v>-0.16700000000008053</v>
      </c>
    </row>
    <row r="236" spans="1:5" x14ac:dyDescent="0.3">
      <c r="A236" s="3">
        <v>6.2280000000000797</v>
      </c>
      <c r="B236" s="3">
        <f t="shared" si="12"/>
        <v>0</v>
      </c>
      <c r="C236" s="3">
        <f t="shared" si="13"/>
        <v>-4.8000000000079979E-2</v>
      </c>
      <c r="D236" s="3">
        <f t="shared" si="14"/>
        <v>-0.12</v>
      </c>
      <c r="E236" s="3">
        <f t="shared" si="15"/>
        <v>-0.16800000000007997</v>
      </c>
    </row>
    <row r="237" spans="1:5" x14ac:dyDescent="0.3">
      <c r="A237" s="3">
        <v>6.22900000000008</v>
      </c>
      <c r="B237" s="3">
        <f t="shared" si="12"/>
        <v>0</v>
      </c>
      <c r="C237" s="3">
        <f t="shared" si="13"/>
        <v>-4.9000000000080313E-2</v>
      </c>
      <c r="D237" s="3">
        <f t="shared" si="14"/>
        <v>-0.12</v>
      </c>
      <c r="E237" s="3">
        <f t="shared" si="15"/>
        <v>-0.16900000000008031</v>
      </c>
    </row>
    <row r="238" spans="1:5" x14ac:dyDescent="0.3">
      <c r="A238" s="3">
        <v>6.2300000000000804</v>
      </c>
      <c r="B238" s="3">
        <f t="shared" si="12"/>
        <v>0</v>
      </c>
      <c r="C238" s="3">
        <f t="shared" si="13"/>
        <v>-5.0000000000080647E-2</v>
      </c>
      <c r="D238" s="3">
        <f t="shared" si="14"/>
        <v>-0.12</v>
      </c>
      <c r="E238" s="3">
        <f t="shared" si="15"/>
        <v>-0.17000000000008064</v>
      </c>
    </row>
    <row r="239" spans="1:5" x14ac:dyDescent="0.3">
      <c r="A239" s="3">
        <v>6.2310000000000798</v>
      </c>
      <c r="B239" s="3">
        <f t="shared" si="12"/>
        <v>0</v>
      </c>
      <c r="C239" s="3">
        <f t="shared" si="13"/>
        <v>-5.1000000000080092E-2</v>
      </c>
      <c r="D239" s="3">
        <f t="shared" si="14"/>
        <v>-0.12</v>
      </c>
      <c r="E239" s="3">
        <f t="shared" si="15"/>
        <v>-0.17100000000008009</v>
      </c>
    </row>
    <row r="240" spans="1:5" x14ac:dyDescent="0.3">
      <c r="A240" s="3">
        <v>6.2320000000000801</v>
      </c>
      <c r="B240" s="3">
        <f t="shared" si="12"/>
        <v>0</v>
      </c>
      <c r="C240" s="3">
        <f t="shared" si="13"/>
        <v>-5.2000000000080426E-2</v>
      </c>
      <c r="D240" s="3">
        <f t="shared" si="14"/>
        <v>-0.12</v>
      </c>
      <c r="E240" s="3">
        <f t="shared" si="15"/>
        <v>-0.17200000000008042</v>
      </c>
    </row>
    <row r="241" spans="1:5" x14ac:dyDescent="0.3">
      <c r="A241" s="3">
        <v>6.2330000000000796</v>
      </c>
      <c r="B241" s="3">
        <f t="shared" si="12"/>
        <v>0</v>
      </c>
      <c r="C241" s="3">
        <f t="shared" si="13"/>
        <v>-5.3000000000079872E-2</v>
      </c>
      <c r="D241" s="3">
        <f t="shared" si="14"/>
        <v>-0.12</v>
      </c>
      <c r="E241" s="3">
        <f t="shared" si="15"/>
        <v>-0.17300000000007987</v>
      </c>
    </row>
    <row r="242" spans="1:5" x14ac:dyDescent="0.3">
      <c r="A242" s="3">
        <v>6.2340000000000799</v>
      </c>
      <c r="B242" s="3">
        <f t="shared" si="12"/>
        <v>0</v>
      </c>
      <c r="C242" s="3">
        <f t="shared" si="13"/>
        <v>-5.4000000000080206E-2</v>
      </c>
      <c r="D242" s="3">
        <f t="shared" si="14"/>
        <v>-0.12</v>
      </c>
      <c r="E242" s="3">
        <f t="shared" si="15"/>
        <v>-0.1740000000000802</v>
      </c>
    </row>
    <row r="243" spans="1:5" x14ac:dyDescent="0.3">
      <c r="A243" s="3">
        <v>6.2350000000000803</v>
      </c>
      <c r="B243" s="3">
        <f t="shared" si="12"/>
        <v>0</v>
      </c>
      <c r="C243" s="3">
        <f t="shared" si="13"/>
        <v>-5.500000000008054E-2</v>
      </c>
      <c r="D243" s="3">
        <f t="shared" si="14"/>
        <v>-0.12</v>
      </c>
      <c r="E243" s="3">
        <f t="shared" si="15"/>
        <v>-0.17500000000008054</v>
      </c>
    </row>
    <row r="244" spans="1:5" x14ac:dyDescent="0.3">
      <c r="A244" s="3">
        <v>6.2360000000000797</v>
      </c>
      <c r="B244" s="3">
        <f t="shared" si="12"/>
        <v>0</v>
      </c>
      <c r="C244" s="3">
        <f t="shared" si="13"/>
        <v>-5.6000000000079986E-2</v>
      </c>
      <c r="D244" s="3">
        <f t="shared" si="14"/>
        <v>-0.12</v>
      </c>
      <c r="E244" s="3">
        <f t="shared" si="15"/>
        <v>-0.17600000000007998</v>
      </c>
    </row>
    <row r="245" spans="1:5" x14ac:dyDescent="0.3">
      <c r="A245" s="3">
        <v>6.23700000000008</v>
      </c>
      <c r="B245" s="3">
        <f t="shared" si="12"/>
        <v>0</v>
      </c>
      <c r="C245" s="3">
        <f t="shared" si="13"/>
        <v>-5.700000000008032E-2</v>
      </c>
      <c r="D245" s="3">
        <f t="shared" si="14"/>
        <v>-0.12</v>
      </c>
      <c r="E245" s="3">
        <f t="shared" si="15"/>
        <v>-0.17700000000008032</v>
      </c>
    </row>
    <row r="246" spans="1:5" x14ac:dyDescent="0.3">
      <c r="A246" s="3">
        <v>6.2380000000000804</v>
      </c>
      <c r="B246" s="3">
        <f t="shared" si="12"/>
        <v>0</v>
      </c>
      <c r="C246" s="3">
        <f t="shared" si="13"/>
        <v>-5.8000000000080654E-2</v>
      </c>
      <c r="D246" s="3">
        <f t="shared" si="14"/>
        <v>-0.12</v>
      </c>
      <c r="E246" s="3">
        <f t="shared" si="15"/>
        <v>-0.17800000000008065</v>
      </c>
    </row>
    <row r="247" spans="1:5" x14ac:dyDescent="0.3">
      <c r="A247" s="3">
        <v>6.2390000000000798</v>
      </c>
      <c r="B247" s="3">
        <f t="shared" si="12"/>
        <v>0</v>
      </c>
      <c r="C247" s="3">
        <f t="shared" si="13"/>
        <v>-5.9000000000080099E-2</v>
      </c>
      <c r="D247" s="3">
        <f t="shared" si="14"/>
        <v>-0.12</v>
      </c>
      <c r="E247" s="3">
        <f t="shared" si="15"/>
        <v>-0.1790000000000801</v>
      </c>
    </row>
    <row r="248" spans="1:5" x14ac:dyDescent="0.3">
      <c r="A248" s="3">
        <v>6.2400000000000801</v>
      </c>
      <c r="B248" s="3">
        <f t="shared" si="12"/>
        <v>0</v>
      </c>
      <c r="C248" s="3">
        <f t="shared" si="13"/>
        <v>-6.0000000000080433E-2</v>
      </c>
      <c r="D248" s="3">
        <f t="shared" si="14"/>
        <v>-0.12</v>
      </c>
      <c r="E248" s="3">
        <f t="shared" si="15"/>
        <v>-0.18000000000008043</v>
      </c>
    </row>
    <row r="249" spans="1:5" x14ac:dyDescent="0.3">
      <c r="A249" s="3">
        <v>6.2410000000000796</v>
      </c>
      <c r="B249" s="3">
        <f t="shared" si="12"/>
        <v>0</v>
      </c>
      <c r="C249" s="3">
        <f t="shared" si="13"/>
        <v>-6.1000000000079879E-2</v>
      </c>
      <c r="D249" s="3">
        <f t="shared" si="14"/>
        <v>-0.12</v>
      </c>
      <c r="E249" s="3">
        <f t="shared" si="15"/>
        <v>-0.18100000000007987</v>
      </c>
    </row>
    <row r="250" spans="1:5" x14ac:dyDescent="0.3">
      <c r="A250" s="3">
        <v>6.2420000000000799</v>
      </c>
      <c r="B250" s="3">
        <f t="shared" si="12"/>
        <v>0</v>
      </c>
      <c r="C250" s="3">
        <f t="shared" si="13"/>
        <v>-6.2000000000080213E-2</v>
      </c>
      <c r="D250" s="3">
        <f t="shared" si="14"/>
        <v>-0.12</v>
      </c>
      <c r="E250" s="3">
        <f t="shared" si="15"/>
        <v>-0.18200000000008021</v>
      </c>
    </row>
    <row r="251" spans="1:5" x14ac:dyDescent="0.3">
      <c r="A251" s="3">
        <v>6.2430000000000803</v>
      </c>
      <c r="B251" s="3">
        <f t="shared" si="12"/>
        <v>0</v>
      </c>
      <c r="C251" s="3">
        <f t="shared" si="13"/>
        <v>-6.3000000000080547E-2</v>
      </c>
      <c r="D251" s="3">
        <f t="shared" si="14"/>
        <v>-0.12</v>
      </c>
      <c r="E251" s="3">
        <f t="shared" si="15"/>
        <v>-0.18300000000008054</v>
      </c>
    </row>
    <row r="252" spans="1:5" x14ac:dyDescent="0.3">
      <c r="A252" s="3">
        <v>6.2440000000000797</v>
      </c>
      <c r="B252" s="3">
        <f t="shared" si="12"/>
        <v>0</v>
      </c>
      <c r="C252" s="3">
        <f t="shared" si="13"/>
        <v>-6.4000000000079993E-2</v>
      </c>
      <c r="D252" s="3">
        <f t="shared" si="14"/>
        <v>-0.12</v>
      </c>
      <c r="E252" s="3">
        <f t="shared" si="15"/>
        <v>-0.18400000000007999</v>
      </c>
    </row>
    <row r="253" spans="1:5" x14ac:dyDescent="0.3">
      <c r="A253" s="3">
        <v>6.24500000000008</v>
      </c>
      <c r="B253" s="3">
        <f t="shared" si="12"/>
        <v>0</v>
      </c>
      <c r="C253" s="3">
        <f t="shared" si="13"/>
        <v>-6.5000000000080327E-2</v>
      </c>
      <c r="D253" s="3">
        <f t="shared" si="14"/>
        <v>-0.12</v>
      </c>
      <c r="E253" s="3">
        <f t="shared" si="15"/>
        <v>-0.18500000000008032</v>
      </c>
    </row>
    <row r="254" spans="1:5" x14ac:dyDescent="0.3">
      <c r="A254" s="3">
        <v>6.2460000000000804</v>
      </c>
      <c r="B254" s="3">
        <f t="shared" si="12"/>
        <v>0</v>
      </c>
      <c r="C254" s="3">
        <f t="shared" si="13"/>
        <v>-6.6000000000080661E-2</v>
      </c>
      <c r="D254" s="3">
        <f t="shared" si="14"/>
        <v>-0.12</v>
      </c>
      <c r="E254" s="3">
        <f t="shared" si="15"/>
        <v>-0.18600000000008066</v>
      </c>
    </row>
    <row r="255" spans="1:5" x14ac:dyDescent="0.3">
      <c r="A255" s="3">
        <v>6.2470000000000798</v>
      </c>
      <c r="B255" s="3">
        <f t="shared" si="12"/>
        <v>0</v>
      </c>
      <c r="C255" s="3">
        <f t="shared" si="13"/>
        <v>-6.7000000000080107E-2</v>
      </c>
      <c r="D255" s="3">
        <f t="shared" si="14"/>
        <v>-0.12</v>
      </c>
      <c r="E255" s="3">
        <f t="shared" si="15"/>
        <v>-0.1870000000000801</v>
      </c>
    </row>
    <row r="256" spans="1:5" x14ac:dyDescent="0.3">
      <c r="A256" s="3">
        <v>6.2480000000000802</v>
      </c>
      <c r="B256" s="3">
        <f t="shared" si="12"/>
        <v>0</v>
      </c>
      <c r="C256" s="3">
        <f t="shared" si="13"/>
        <v>-6.8000000000080441E-2</v>
      </c>
      <c r="D256" s="3">
        <f t="shared" si="14"/>
        <v>-0.12</v>
      </c>
      <c r="E256" s="3">
        <f t="shared" si="15"/>
        <v>-0.18800000000008044</v>
      </c>
    </row>
    <row r="257" spans="1:5" x14ac:dyDescent="0.3">
      <c r="A257" s="3">
        <v>6.2490000000000796</v>
      </c>
      <c r="B257" s="3">
        <f t="shared" si="12"/>
        <v>0</v>
      </c>
      <c r="C257" s="3">
        <f t="shared" si="13"/>
        <v>-6.9000000000079886E-2</v>
      </c>
      <c r="D257" s="3">
        <f t="shared" si="14"/>
        <v>-0.12</v>
      </c>
      <c r="E257" s="3">
        <f t="shared" si="15"/>
        <v>-0.18900000000007988</v>
      </c>
    </row>
    <row r="258" spans="1:5" x14ac:dyDescent="0.3">
      <c r="A258" s="3">
        <v>6.2500000000000799</v>
      </c>
      <c r="B258" s="3">
        <f t="shared" si="12"/>
        <v>0</v>
      </c>
      <c r="C258" s="3">
        <f t="shared" si="13"/>
        <v>-7.000000000008022E-2</v>
      </c>
      <c r="D258" s="3">
        <f t="shared" si="14"/>
        <v>-0.12</v>
      </c>
      <c r="E258" s="3">
        <f t="shared" si="15"/>
        <v>-0.19000000000008022</v>
      </c>
    </row>
    <row r="259" spans="1:5" x14ac:dyDescent="0.3">
      <c r="A259" s="3">
        <v>6.2510000000000803</v>
      </c>
      <c r="B259" s="3">
        <f t="shared" si="12"/>
        <v>0</v>
      </c>
      <c r="C259" s="3">
        <f t="shared" si="13"/>
        <v>-7.1000000000080554E-2</v>
      </c>
      <c r="D259" s="3">
        <f t="shared" si="14"/>
        <v>-0.12</v>
      </c>
      <c r="E259" s="3">
        <f t="shared" si="15"/>
        <v>-0.19100000000008055</v>
      </c>
    </row>
    <row r="260" spans="1:5" x14ac:dyDescent="0.3">
      <c r="A260" s="3">
        <v>6.2520000000000797</v>
      </c>
      <c r="B260" s="3">
        <f t="shared" si="12"/>
        <v>0</v>
      </c>
      <c r="C260" s="3">
        <f t="shared" si="13"/>
        <v>-7.200000000008E-2</v>
      </c>
      <c r="D260" s="3">
        <f t="shared" si="14"/>
        <v>-0.12</v>
      </c>
      <c r="E260" s="3">
        <f t="shared" si="15"/>
        <v>-0.19200000000008</v>
      </c>
    </row>
    <row r="261" spans="1:5" x14ac:dyDescent="0.3">
      <c r="A261" s="3">
        <v>6.25300000000008</v>
      </c>
      <c r="B261" s="3">
        <f t="shared" si="12"/>
        <v>0</v>
      </c>
      <c r="C261" s="3">
        <f t="shared" si="13"/>
        <v>-7.3000000000080334E-2</v>
      </c>
      <c r="D261" s="3">
        <f t="shared" si="14"/>
        <v>-0.12</v>
      </c>
      <c r="E261" s="3">
        <f t="shared" si="15"/>
        <v>-0.19300000000008033</v>
      </c>
    </row>
    <row r="262" spans="1:5" x14ac:dyDescent="0.3">
      <c r="A262" s="3">
        <v>6.2540000000000804</v>
      </c>
      <c r="B262" s="3">
        <f t="shared" si="12"/>
        <v>0</v>
      </c>
      <c r="C262" s="3">
        <f t="shared" si="13"/>
        <v>-7.4000000000080668E-2</v>
      </c>
      <c r="D262" s="3">
        <f t="shared" si="14"/>
        <v>-0.12</v>
      </c>
      <c r="E262" s="3">
        <f t="shared" si="15"/>
        <v>-0.19400000000008066</v>
      </c>
    </row>
    <row r="263" spans="1:5" x14ac:dyDescent="0.3">
      <c r="A263" s="3">
        <v>6.2550000000000896</v>
      </c>
      <c r="B263" s="3">
        <f t="shared" si="12"/>
        <v>0</v>
      </c>
      <c r="C263" s="3">
        <f t="shared" si="13"/>
        <v>-7.5000000000089884E-2</v>
      </c>
      <c r="D263" s="3">
        <f t="shared" si="14"/>
        <v>-0.12</v>
      </c>
      <c r="E263" s="3">
        <f t="shared" si="15"/>
        <v>-0.19500000000008988</v>
      </c>
    </row>
    <row r="264" spans="1:5" x14ac:dyDescent="0.3">
      <c r="A264" s="3">
        <v>6.2560000000000802</v>
      </c>
      <c r="B264" s="3">
        <f t="shared" si="12"/>
        <v>0</v>
      </c>
      <c r="C264" s="3">
        <f t="shared" si="13"/>
        <v>-7.6000000000080448E-2</v>
      </c>
      <c r="D264" s="3">
        <f t="shared" si="14"/>
        <v>-0.12</v>
      </c>
      <c r="E264" s="3">
        <f t="shared" si="15"/>
        <v>-0.19600000000008044</v>
      </c>
    </row>
    <row r="265" spans="1:5" x14ac:dyDescent="0.3">
      <c r="A265" s="3">
        <v>6.2570000000000903</v>
      </c>
      <c r="B265" s="3">
        <f t="shared" ref="B265:B328" si="16">MAX($B$2-A265,0)</f>
        <v>0</v>
      </c>
      <c r="C265" s="3">
        <f t="shared" ref="C265:C328" si="17">MAX(A265-$B$3,0)*(-1)</f>
        <v>-7.7000000000090552E-2</v>
      </c>
      <c r="D265" s="3">
        <f t="shared" ref="D265:D328" si="18">IF(A265&gt;6.18,0.06,0)*(-2)</f>
        <v>-0.12</v>
      </c>
      <c r="E265" s="3">
        <f t="shared" ref="E265:E328" si="19">SUM(B265:D265)</f>
        <v>-0.19700000000009055</v>
      </c>
    </row>
    <row r="266" spans="1:5" x14ac:dyDescent="0.3">
      <c r="A266" s="3">
        <v>6.2580000000000897</v>
      </c>
      <c r="B266" s="3">
        <f t="shared" si="16"/>
        <v>0</v>
      </c>
      <c r="C266" s="3">
        <f t="shared" si="17"/>
        <v>-7.8000000000089997E-2</v>
      </c>
      <c r="D266" s="3">
        <f t="shared" si="18"/>
        <v>-0.12</v>
      </c>
      <c r="E266" s="3">
        <f t="shared" si="19"/>
        <v>-0.19800000000008999</v>
      </c>
    </row>
    <row r="267" spans="1:5" x14ac:dyDescent="0.3">
      <c r="A267" s="3">
        <v>6.25900000000009</v>
      </c>
      <c r="B267" s="3">
        <f t="shared" si="16"/>
        <v>0</v>
      </c>
      <c r="C267" s="3">
        <f t="shared" si="17"/>
        <v>-7.9000000000090331E-2</v>
      </c>
      <c r="D267" s="3">
        <f t="shared" si="18"/>
        <v>-0.12</v>
      </c>
      <c r="E267" s="3">
        <f t="shared" si="19"/>
        <v>-0.19900000000009033</v>
      </c>
    </row>
    <row r="268" spans="1:5" x14ac:dyDescent="0.3">
      <c r="A268" s="3">
        <v>6.2600000000000904</v>
      </c>
      <c r="B268" s="3">
        <f t="shared" si="16"/>
        <v>0</v>
      </c>
      <c r="C268" s="3">
        <f t="shared" si="17"/>
        <v>-8.0000000000090665E-2</v>
      </c>
      <c r="D268" s="3">
        <f t="shared" si="18"/>
        <v>-0.12</v>
      </c>
      <c r="E268" s="3">
        <f t="shared" si="19"/>
        <v>-0.20000000000009066</v>
      </c>
    </row>
    <row r="269" spans="1:5" x14ac:dyDescent="0.3">
      <c r="A269" s="3">
        <v>6.2610000000000898</v>
      </c>
      <c r="B269" s="3">
        <f t="shared" si="16"/>
        <v>0</v>
      </c>
      <c r="C269" s="3">
        <f t="shared" si="17"/>
        <v>-8.1000000000090111E-2</v>
      </c>
      <c r="D269" s="3">
        <f t="shared" si="18"/>
        <v>-0.12</v>
      </c>
      <c r="E269" s="3">
        <f t="shared" si="19"/>
        <v>-0.20100000000009011</v>
      </c>
    </row>
    <row r="270" spans="1:5" x14ac:dyDescent="0.3">
      <c r="A270" s="3">
        <v>6.2620000000000902</v>
      </c>
      <c r="B270" s="3">
        <f t="shared" si="16"/>
        <v>0</v>
      </c>
      <c r="C270" s="3">
        <f t="shared" si="17"/>
        <v>-8.2000000000090445E-2</v>
      </c>
      <c r="D270" s="3">
        <f t="shared" si="18"/>
        <v>-0.12</v>
      </c>
      <c r="E270" s="3">
        <f t="shared" si="19"/>
        <v>-0.20200000000009044</v>
      </c>
    </row>
    <row r="271" spans="1:5" x14ac:dyDescent="0.3">
      <c r="A271" s="3">
        <v>6.2630000000000896</v>
      </c>
      <c r="B271" s="3">
        <f t="shared" si="16"/>
        <v>0</v>
      </c>
      <c r="C271" s="3">
        <f t="shared" si="17"/>
        <v>-8.3000000000089891E-2</v>
      </c>
      <c r="D271" s="3">
        <f t="shared" si="18"/>
        <v>-0.12</v>
      </c>
      <c r="E271" s="3">
        <f t="shared" si="19"/>
        <v>-0.20300000000008989</v>
      </c>
    </row>
    <row r="272" spans="1:5" x14ac:dyDescent="0.3">
      <c r="A272" s="3">
        <v>6.2640000000000899</v>
      </c>
      <c r="B272" s="3">
        <f t="shared" si="16"/>
        <v>0</v>
      </c>
      <c r="C272" s="3">
        <f t="shared" si="17"/>
        <v>-8.4000000000090225E-2</v>
      </c>
      <c r="D272" s="3">
        <f t="shared" si="18"/>
        <v>-0.12</v>
      </c>
      <c r="E272" s="3">
        <f t="shared" si="19"/>
        <v>-0.20400000000009022</v>
      </c>
    </row>
    <row r="273" spans="1:5" x14ac:dyDescent="0.3">
      <c r="A273" s="3">
        <v>6.2650000000000903</v>
      </c>
      <c r="B273" s="3">
        <f t="shared" si="16"/>
        <v>0</v>
      </c>
      <c r="C273" s="3">
        <f t="shared" si="17"/>
        <v>-8.5000000000090559E-2</v>
      </c>
      <c r="D273" s="3">
        <f t="shared" si="18"/>
        <v>-0.12</v>
      </c>
      <c r="E273" s="3">
        <f t="shared" si="19"/>
        <v>-0.20500000000009055</v>
      </c>
    </row>
    <row r="274" spans="1:5" x14ac:dyDescent="0.3">
      <c r="A274" s="3">
        <v>6.2660000000000897</v>
      </c>
      <c r="B274" s="3">
        <f t="shared" si="16"/>
        <v>0</v>
      </c>
      <c r="C274" s="3">
        <f t="shared" si="17"/>
        <v>-8.6000000000090004E-2</v>
      </c>
      <c r="D274" s="3">
        <f t="shared" si="18"/>
        <v>-0.12</v>
      </c>
      <c r="E274" s="3">
        <f t="shared" si="19"/>
        <v>-0.20600000000009</v>
      </c>
    </row>
    <row r="275" spans="1:5" x14ac:dyDescent="0.3">
      <c r="A275" s="3">
        <v>6.2670000000000901</v>
      </c>
      <c r="B275" s="3">
        <f t="shared" si="16"/>
        <v>0</v>
      </c>
      <c r="C275" s="3">
        <f t="shared" si="17"/>
        <v>-8.7000000000090338E-2</v>
      </c>
      <c r="D275" s="3">
        <f t="shared" si="18"/>
        <v>-0.12</v>
      </c>
      <c r="E275" s="3">
        <f t="shared" si="19"/>
        <v>-0.20700000000009033</v>
      </c>
    </row>
    <row r="276" spans="1:5" x14ac:dyDescent="0.3">
      <c r="A276" s="3">
        <v>6.2680000000000904</v>
      </c>
      <c r="B276" s="3">
        <f t="shared" si="16"/>
        <v>0</v>
      </c>
      <c r="C276" s="3">
        <f t="shared" si="17"/>
        <v>-8.8000000000090672E-2</v>
      </c>
      <c r="D276" s="3">
        <f t="shared" si="18"/>
        <v>-0.12</v>
      </c>
      <c r="E276" s="3">
        <f t="shared" si="19"/>
        <v>-0.20800000000009067</v>
      </c>
    </row>
    <row r="277" spans="1:5" x14ac:dyDescent="0.3">
      <c r="A277" s="3">
        <v>6.2690000000000898</v>
      </c>
      <c r="B277" s="3">
        <f t="shared" si="16"/>
        <v>0</v>
      </c>
      <c r="C277" s="3">
        <f t="shared" si="17"/>
        <v>-8.9000000000090118E-2</v>
      </c>
      <c r="D277" s="3">
        <f t="shared" si="18"/>
        <v>-0.12</v>
      </c>
      <c r="E277" s="3">
        <f t="shared" si="19"/>
        <v>-0.20900000000009011</v>
      </c>
    </row>
    <row r="278" spans="1:5" x14ac:dyDescent="0.3">
      <c r="A278" s="3">
        <v>6.2700000000000902</v>
      </c>
      <c r="B278" s="3">
        <f t="shared" si="16"/>
        <v>0</v>
      </c>
      <c r="C278" s="3">
        <f t="shared" si="17"/>
        <v>-9.0000000000090452E-2</v>
      </c>
      <c r="D278" s="3">
        <f t="shared" si="18"/>
        <v>-0.12</v>
      </c>
      <c r="E278" s="3">
        <f t="shared" si="19"/>
        <v>-0.21000000000009045</v>
      </c>
    </row>
    <row r="279" spans="1:5" x14ac:dyDescent="0.3">
      <c r="A279" s="3">
        <v>6.2710000000000896</v>
      </c>
      <c r="B279" s="3">
        <f t="shared" si="16"/>
        <v>0</v>
      </c>
      <c r="C279" s="3">
        <f t="shared" si="17"/>
        <v>-9.1000000000089898E-2</v>
      </c>
      <c r="D279" s="3">
        <f t="shared" si="18"/>
        <v>-0.12</v>
      </c>
      <c r="E279" s="3">
        <f t="shared" si="19"/>
        <v>-0.21100000000008989</v>
      </c>
    </row>
    <row r="280" spans="1:5" x14ac:dyDescent="0.3">
      <c r="A280" s="3">
        <v>6.2720000000000899</v>
      </c>
      <c r="B280" s="3">
        <f t="shared" si="16"/>
        <v>0</v>
      </c>
      <c r="C280" s="3">
        <f t="shared" si="17"/>
        <v>-9.2000000000090232E-2</v>
      </c>
      <c r="D280" s="3">
        <f t="shared" si="18"/>
        <v>-0.12</v>
      </c>
      <c r="E280" s="3">
        <f t="shared" si="19"/>
        <v>-0.21200000000009023</v>
      </c>
    </row>
    <row r="281" spans="1:5" x14ac:dyDescent="0.3">
      <c r="A281" s="3">
        <v>6.2730000000000903</v>
      </c>
      <c r="B281" s="3">
        <f t="shared" si="16"/>
        <v>0</v>
      </c>
      <c r="C281" s="3">
        <f t="shared" si="17"/>
        <v>-9.3000000000090566E-2</v>
      </c>
      <c r="D281" s="3">
        <f t="shared" si="18"/>
        <v>-0.12</v>
      </c>
      <c r="E281" s="3">
        <f t="shared" si="19"/>
        <v>-0.21300000000009056</v>
      </c>
    </row>
    <row r="282" spans="1:5" x14ac:dyDescent="0.3">
      <c r="A282" s="3">
        <v>6.2740000000000897</v>
      </c>
      <c r="B282" s="3">
        <f t="shared" si="16"/>
        <v>0</v>
      </c>
      <c r="C282" s="3">
        <f t="shared" si="17"/>
        <v>-9.4000000000090012E-2</v>
      </c>
      <c r="D282" s="3">
        <f t="shared" si="18"/>
        <v>-0.12</v>
      </c>
      <c r="E282" s="3">
        <f t="shared" si="19"/>
        <v>-0.21400000000009001</v>
      </c>
    </row>
    <row r="283" spans="1:5" x14ac:dyDescent="0.3">
      <c r="A283" s="3">
        <v>6.2750000000000901</v>
      </c>
      <c r="B283" s="3">
        <f t="shared" si="16"/>
        <v>0</v>
      </c>
      <c r="C283" s="3">
        <f t="shared" si="17"/>
        <v>-9.5000000000090346E-2</v>
      </c>
      <c r="D283" s="3">
        <f t="shared" si="18"/>
        <v>-0.12</v>
      </c>
      <c r="E283" s="3">
        <f t="shared" si="19"/>
        <v>-0.21500000000009034</v>
      </c>
    </row>
    <row r="284" spans="1:5" x14ac:dyDescent="0.3">
      <c r="A284" s="3">
        <v>6.2760000000000904</v>
      </c>
      <c r="B284" s="3">
        <f t="shared" si="16"/>
        <v>0</v>
      </c>
      <c r="C284" s="3">
        <f t="shared" si="17"/>
        <v>-9.6000000000090679E-2</v>
      </c>
      <c r="D284" s="3">
        <f t="shared" si="18"/>
        <v>-0.12</v>
      </c>
      <c r="E284" s="3">
        <f t="shared" si="19"/>
        <v>-0.21600000000009068</v>
      </c>
    </row>
    <row r="285" spans="1:5" x14ac:dyDescent="0.3">
      <c r="A285" s="3">
        <v>6.2770000000000898</v>
      </c>
      <c r="B285" s="3">
        <f t="shared" si="16"/>
        <v>0</v>
      </c>
      <c r="C285" s="3">
        <f t="shared" si="17"/>
        <v>-9.7000000000090125E-2</v>
      </c>
      <c r="D285" s="3">
        <f t="shared" si="18"/>
        <v>-0.12</v>
      </c>
      <c r="E285" s="3">
        <f t="shared" si="19"/>
        <v>-0.21700000000009012</v>
      </c>
    </row>
    <row r="286" spans="1:5" x14ac:dyDescent="0.3">
      <c r="A286" s="3">
        <v>6.2780000000000902</v>
      </c>
      <c r="B286" s="3">
        <f t="shared" si="16"/>
        <v>0</v>
      </c>
      <c r="C286" s="3">
        <f t="shared" si="17"/>
        <v>-9.8000000000090459E-2</v>
      </c>
      <c r="D286" s="3">
        <f t="shared" si="18"/>
        <v>-0.12</v>
      </c>
      <c r="E286" s="3">
        <f t="shared" si="19"/>
        <v>-0.21800000000009045</v>
      </c>
    </row>
    <row r="287" spans="1:5" x14ac:dyDescent="0.3">
      <c r="A287" s="3">
        <v>6.2790000000000896</v>
      </c>
      <c r="B287" s="3">
        <f t="shared" si="16"/>
        <v>0</v>
      </c>
      <c r="C287" s="3">
        <f t="shared" si="17"/>
        <v>-9.9000000000089905E-2</v>
      </c>
      <c r="D287" s="3">
        <f t="shared" si="18"/>
        <v>-0.12</v>
      </c>
      <c r="E287" s="3">
        <f t="shared" si="19"/>
        <v>-0.2190000000000899</v>
      </c>
    </row>
    <row r="288" spans="1:5" x14ac:dyDescent="0.3">
      <c r="A288" s="3">
        <v>6.28000000000009</v>
      </c>
      <c r="B288" s="3">
        <f t="shared" si="16"/>
        <v>0</v>
      </c>
      <c r="C288" s="3">
        <f t="shared" si="17"/>
        <v>-0.10000000000009024</v>
      </c>
      <c r="D288" s="3">
        <f t="shared" si="18"/>
        <v>-0.12</v>
      </c>
      <c r="E288" s="3">
        <f t="shared" si="19"/>
        <v>-0.22000000000009023</v>
      </c>
    </row>
    <row r="289" spans="1:5" x14ac:dyDescent="0.3">
      <c r="A289" s="3">
        <v>6.2810000000000903</v>
      </c>
      <c r="B289" s="3">
        <f t="shared" si="16"/>
        <v>0</v>
      </c>
      <c r="C289" s="3">
        <f t="shared" si="17"/>
        <v>-0.10100000000009057</v>
      </c>
      <c r="D289" s="3">
        <f t="shared" si="18"/>
        <v>-0.12</v>
      </c>
      <c r="E289" s="3">
        <f t="shared" si="19"/>
        <v>-0.22100000000009057</v>
      </c>
    </row>
    <row r="290" spans="1:5" x14ac:dyDescent="0.3">
      <c r="A290" s="3">
        <v>6.2820000000000897</v>
      </c>
      <c r="B290" s="3">
        <f t="shared" si="16"/>
        <v>0</v>
      </c>
      <c r="C290" s="3">
        <f t="shared" si="17"/>
        <v>-0.10200000000009002</v>
      </c>
      <c r="D290" s="3">
        <f t="shared" si="18"/>
        <v>-0.12</v>
      </c>
      <c r="E290" s="3">
        <f t="shared" si="19"/>
        <v>-0.22200000000009001</v>
      </c>
    </row>
    <row r="291" spans="1:5" x14ac:dyDescent="0.3">
      <c r="A291" s="3">
        <v>6.2830000000000998</v>
      </c>
      <c r="B291" s="3">
        <f t="shared" si="16"/>
        <v>0</v>
      </c>
      <c r="C291" s="3">
        <f t="shared" si="17"/>
        <v>-0.10300000000010012</v>
      </c>
      <c r="D291" s="3">
        <f t="shared" si="18"/>
        <v>-0.12</v>
      </c>
      <c r="E291" s="3">
        <f t="shared" si="19"/>
        <v>-0.22300000000010012</v>
      </c>
    </row>
    <row r="292" spans="1:5" x14ac:dyDescent="0.3">
      <c r="A292" s="3">
        <v>6.2840000000000904</v>
      </c>
      <c r="B292" s="3">
        <f t="shared" si="16"/>
        <v>0</v>
      </c>
      <c r="C292" s="3">
        <f t="shared" si="17"/>
        <v>-0.10400000000009069</v>
      </c>
      <c r="D292" s="3">
        <f t="shared" si="18"/>
        <v>-0.12</v>
      </c>
      <c r="E292" s="3">
        <f t="shared" si="19"/>
        <v>-0.22400000000009068</v>
      </c>
    </row>
    <row r="293" spans="1:5" x14ac:dyDescent="0.3">
      <c r="A293" s="3">
        <v>6.2850000000000996</v>
      </c>
      <c r="B293" s="3">
        <f t="shared" si="16"/>
        <v>0</v>
      </c>
      <c r="C293" s="3">
        <f t="shared" si="17"/>
        <v>-0.1050000000000999</v>
      </c>
      <c r="D293" s="3">
        <f t="shared" si="18"/>
        <v>-0.12</v>
      </c>
      <c r="E293" s="3">
        <f t="shared" si="19"/>
        <v>-0.2250000000000999</v>
      </c>
    </row>
    <row r="294" spans="1:5" x14ac:dyDescent="0.3">
      <c r="A294" s="3">
        <v>6.2860000000001</v>
      </c>
      <c r="B294" s="3">
        <f t="shared" si="16"/>
        <v>0</v>
      </c>
      <c r="C294" s="3">
        <f t="shared" si="17"/>
        <v>-0.10600000000010024</v>
      </c>
      <c r="D294" s="3">
        <f t="shared" si="18"/>
        <v>-0.12</v>
      </c>
      <c r="E294" s="3">
        <f t="shared" si="19"/>
        <v>-0.22600000000010023</v>
      </c>
    </row>
    <row r="295" spans="1:5" x14ac:dyDescent="0.3">
      <c r="A295" s="3">
        <v>6.2870000000001003</v>
      </c>
      <c r="B295" s="3">
        <f t="shared" si="16"/>
        <v>0</v>
      </c>
      <c r="C295" s="3">
        <f t="shared" si="17"/>
        <v>-0.10700000000010057</v>
      </c>
      <c r="D295" s="3">
        <f t="shared" si="18"/>
        <v>-0.12</v>
      </c>
      <c r="E295" s="3">
        <f t="shared" si="19"/>
        <v>-0.22700000000010057</v>
      </c>
    </row>
    <row r="296" spans="1:5" x14ac:dyDescent="0.3">
      <c r="A296" s="3">
        <v>6.2880000000000997</v>
      </c>
      <c r="B296" s="3">
        <f t="shared" si="16"/>
        <v>0</v>
      </c>
      <c r="C296" s="3">
        <f t="shared" si="17"/>
        <v>-0.10800000000010002</v>
      </c>
      <c r="D296" s="3">
        <f t="shared" si="18"/>
        <v>-0.12</v>
      </c>
      <c r="E296" s="3">
        <f t="shared" si="19"/>
        <v>-0.22800000000010001</v>
      </c>
    </row>
    <row r="297" spans="1:5" x14ac:dyDescent="0.3">
      <c r="A297" s="3">
        <v>6.2890000000001001</v>
      </c>
      <c r="B297" s="3">
        <f t="shared" si="16"/>
        <v>0</v>
      </c>
      <c r="C297" s="3">
        <f t="shared" si="17"/>
        <v>-0.10900000000010035</v>
      </c>
      <c r="D297" s="3">
        <f t="shared" si="18"/>
        <v>-0.12</v>
      </c>
      <c r="E297" s="3">
        <f t="shared" si="19"/>
        <v>-0.22900000000010035</v>
      </c>
    </row>
    <row r="298" spans="1:5" x14ac:dyDescent="0.3">
      <c r="A298" s="3">
        <v>6.2900000000001004</v>
      </c>
      <c r="B298" s="3">
        <f t="shared" si="16"/>
        <v>0</v>
      </c>
      <c r="C298" s="3">
        <f t="shared" si="17"/>
        <v>-0.11000000000010068</v>
      </c>
      <c r="D298" s="3">
        <f t="shared" si="18"/>
        <v>-0.12</v>
      </c>
      <c r="E298" s="3">
        <f t="shared" si="19"/>
        <v>-0.23000000000010068</v>
      </c>
    </row>
    <row r="299" spans="1:5" x14ac:dyDescent="0.3">
      <c r="A299" s="3">
        <v>6.2910000000000998</v>
      </c>
      <c r="B299" s="3">
        <f t="shared" si="16"/>
        <v>0</v>
      </c>
      <c r="C299" s="3">
        <f t="shared" si="17"/>
        <v>-0.11100000000010013</v>
      </c>
      <c r="D299" s="3">
        <f t="shared" si="18"/>
        <v>-0.12</v>
      </c>
      <c r="E299" s="3">
        <f t="shared" si="19"/>
        <v>-0.23100000000010013</v>
      </c>
    </row>
    <row r="300" spans="1:5" x14ac:dyDescent="0.3">
      <c r="A300" s="3">
        <v>6.2920000000001002</v>
      </c>
      <c r="B300" s="3">
        <f t="shared" si="16"/>
        <v>0</v>
      </c>
      <c r="C300" s="3">
        <f t="shared" si="17"/>
        <v>-0.11200000000010046</v>
      </c>
      <c r="D300" s="3">
        <f t="shared" si="18"/>
        <v>-0.12</v>
      </c>
      <c r="E300" s="3">
        <f t="shared" si="19"/>
        <v>-0.23200000000010046</v>
      </c>
    </row>
    <row r="301" spans="1:5" x14ac:dyDescent="0.3">
      <c r="A301" s="3">
        <v>6.2930000000000996</v>
      </c>
      <c r="B301" s="3">
        <f t="shared" si="16"/>
        <v>0</v>
      </c>
      <c r="C301" s="3">
        <f t="shared" si="17"/>
        <v>-0.11300000000009991</v>
      </c>
      <c r="D301" s="3">
        <f t="shared" si="18"/>
        <v>-0.12</v>
      </c>
      <c r="E301" s="3">
        <f t="shared" si="19"/>
        <v>-0.2330000000000999</v>
      </c>
    </row>
    <row r="302" spans="1:5" x14ac:dyDescent="0.3">
      <c r="A302" s="3">
        <v>6.2940000000001</v>
      </c>
      <c r="B302" s="3">
        <f t="shared" si="16"/>
        <v>0</v>
      </c>
      <c r="C302" s="3">
        <f t="shared" si="17"/>
        <v>-0.11400000000010024</v>
      </c>
      <c r="D302" s="3">
        <f t="shared" si="18"/>
        <v>-0.12</v>
      </c>
      <c r="E302" s="3">
        <f t="shared" si="19"/>
        <v>-0.23400000000010024</v>
      </c>
    </row>
    <row r="303" spans="1:5" x14ac:dyDescent="0.3">
      <c r="A303" s="3">
        <v>6.2950000000001003</v>
      </c>
      <c r="B303" s="3">
        <f t="shared" si="16"/>
        <v>0</v>
      </c>
      <c r="C303" s="3">
        <f t="shared" si="17"/>
        <v>-0.11500000000010058</v>
      </c>
      <c r="D303" s="3">
        <f t="shared" si="18"/>
        <v>-0.12</v>
      </c>
      <c r="E303" s="3">
        <f t="shared" si="19"/>
        <v>-0.23500000000010057</v>
      </c>
    </row>
    <row r="304" spans="1:5" x14ac:dyDescent="0.3">
      <c r="A304" s="3">
        <v>6.2960000000000997</v>
      </c>
      <c r="B304" s="3">
        <f t="shared" si="16"/>
        <v>0</v>
      </c>
      <c r="C304" s="3">
        <f t="shared" si="17"/>
        <v>-0.11600000000010002</v>
      </c>
      <c r="D304" s="3">
        <f t="shared" si="18"/>
        <v>-0.12</v>
      </c>
      <c r="E304" s="3">
        <f t="shared" si="19"/>
        <v>-0.23600000000010002</v>
      </c>
    </row>
    <row r="305" spans="1:5" x14ac:dyDescent="0.3">
      <c r="A305" s="3">
        <v>6.2970000000001001</v>
      </c>
      <c r="B305" s="3">
        <f t="shared" si="16"/>
        <v>0</v>
      </c>
      <c r="C305" s="3">
        <f t="shared" si="17"/>
        <v>-0.11700000000010036</v>
      </c>
      <c r="D305" s="3">
        <f t="shared" si="18"/>
        <v>-0.12</v>
      </c>
      <c r="E305" s="3">
        <f t="shared" si="19"/>
        <v>-0.23700000000010035</v>
      </c>
    </row>
    <row r="306" spans="1:5" x14ac:dyDescent="0.3">
      <c r="A306" s="3">
        <v>6.2980000000001004</v>
      </c>
      <c r="B306" s="3">
        <f t="shared" si="16"/>
        <v>0</v>
      </c>
      <c r="C306" s="3">
        <f t="shared" si="17"/>
        <v>-0.11800000000010069</v>
      </c>
      <c r="D306" s="3">
        <f t="shared" si="18"/>
        <v>-0.12</v>
      </c>
      <c r="E306" s="3">
        <f t="shared" si="19"/>
        <v>-0.23800000000010069</v>
      </c>
    </row>
    <row r="307" spans="1:5" x14ac:dyDescent="0.3">
      <c r="A307" s="3">
        <v>6.2990000000000999</v>
      </c>
      <c r="B307" s="3">
        <f t="shared" si="16"/>
        <v>0</v>
      </c>
      <c r="C307" s="3">
        <f t="shared" si="17"/>
        <v>-0.11900000000010014</v>
      </c>
      <c r="D307" s="3">
        <f t="shared" si="18"/>
        <v>-0.12</v>
      </c>
      <c r="E307" s="3">
        <f t="shared" si="19"/>
        <v>-0.23900000000010013</v>
      </c>
    </row>
    <row r="308" spans="1:5" x14ac:dyDescent="0.3">
      <c r="A308" s="3">
        <v>6.3000000000001002</v>
      </c>
      <c r="B308" s="3">
        <f t="shared" si="16"/>
        <v>0</v>
      </c>
      <c r="C308" s="3">
        <f t="shared" si="17"/>
        <v>-0.12000000000010047</v>
      </c>
      <c r="D308" s="3">
        <f t="shared" si="18"/>
        <v>-0.12</v>
      </c>
      <c r="E308" s="3">
        <f t="shared" si="19"/>
        <v>-0.24000000000010047</v>
      </c>
    </row>
    <row r="309" spans="1:5" x14ac:dyDescent="0.3">
      <c r="A309" s="3">
        <v>6.3010000000000996</v>
      </c>
      <c r="B309" s="3">
        <f t="shared" si="16"/>
        <v>0</v>
      </c>
      <c r="C309" s="3">
        <f t="shared" si="17"/>
        <v>-0.12100000000009992</v>
      </c>
      <c r="D309" s="3">
        <f t="shared" si="18"/>
        <v>-0.12</v>
      </c>
      <c r="E309" s="3">
        <f t="shared" si="19"/>
        <v>-0.24100000000009991</v>
      </c>
    </row>
    <row r="310" spans="1:5" x14ac:dyDescent="0.3">
      <c r="A310" s="3">
        <v>6.3020000000001</v>
      </c>
      <c r="B310" s="3">
        <f t="shared" si="16"/>
        <v>0</v>
      </c>
      <c r="C310" s="3">
        <f t="shared" si="17"/>
        <v>-0.12200000000010025</v>
      </c>
      <c r="D310" s="3">
        <f t="shared" si="18"/>
        <v>-0.12</v>
      </c>
      <c r="E310" s="3">
        <f t="shared" si="19"/>
        <v>-0.24200000000010025</v>
      </c>
    </row>
    <row r="311" spans="1:5" x14ac:dyDescent="0.3">
      <c r="A311" s="3">
        <v>6.3030000000001003</v>
      </c>
      <c r="B311" s="3">
        <f t="shared" si="16"/>
        <v>0</v>
      </c>
      <c r="C311" s="3">
        <f t="shared" si="17"/>
        <v>-0.12300000000010058</v>
      </c>
      <c r="D311" s="3">
        <f t="shared" si="18"/>
        <v>-0.12</v>
      </c>
      <c r="E311" s="3">
        <f t="shared" si="19"/>
        <v>-0.24300000000010058</v>
      </c>
    </row>
    <row r="312" spans="1:5" x14ac:dyDescent="0.3">
      <c r="A312" s="3">
        <v>6.3040000000000997</v>
      </c>
      <c r="B312" s="3">
        <f t="shared" si="16"/>
        <v>0</v>
      </c>
      <c r="C312" s="3">
        <f t="shared" si="17"/>
        <v>-0.12400000000010003</v>
      </c>
      <c r="D312" s="3">
        <f t="shared" si="18"/>
        <v>-0.12</v>
      </c>
      <c r="E312" s="3">
        <f t="shared" si="19"/>
        <v>-0.24400000000010003</v>
      </c>
    </row>
    <row r="313" spans="1:5" x14ac:dyDescent="0.3">
      <c r="A313" s="3">
        <v>6.3050000000001001</v>
      </c>
      <c r="B313" s="3">
        <f t="shared" si="16"/>
        <v>0</v>
      </c>
      <c r="C313" s="3">
        <f t="shared" si="17"/>
        <v>-0.12500000000010036</v>
      </c>
      <c r="D313" s="3">
        <f t="shared" si="18"/>
        <v>-0.12</v>
      </c>
      <c r="E313" s="3">
        <f t="shared" si="19"/>
        <v>-0.24500000000010036</v>
      </c>
    </row>
    <row r="314" spans="1:5" x14ac:dyDescent="0.3">
      <c r="A314" s="3">
        <v>6.3060000000001004</v>
      </c>
      <c r="B314" s="3">
        <f t="shared" si="16"/>
        <v>0</v>
      </c>
      <c r="C314" s="3">
        <f t="shared" si="17"/>
        <v>-0.1260000000001007</v>
      </c>
      <c r="D314" s="3">
        <f t="shared" si="18"/>
        <v>-0.12</v>
      </c>
      <c r="E314" s="3">
        <f t="shared" si="19"/>
        <v>-0.24600000000010069</v>
      </c>
    </row>
    <row r="315" spans="1:5" x14ac:dyDescent="0.3">
      <c r="A315" s="3">
        <v>6.3070000000000999</v>
      </c>
      <c r="B315" s="3">
        <f t="shared" si="16"/>
        <v>0</v>
      </c>
      <c r="C315" s="3">
        <f t="shared" si="17"/>
        <v>-0.12700000000010014</v>
      </c>
      <c r="D315" s="3">
        <f t="shared" si="18"/>
        <v>-0.12</v>
      </c>
      <c r="E315" s="3">
        <f t="shared" si="19"/>
        <v>-0.24700000000010014</v>
      </c>
    </row>
    <row r="316" spans="1:5" x14ac:dyDescent="0.3">
      <c r="A316" s="3">
        <v>6.3080000000001002</v>
      </c>
      <c r="B316" s="3">
        <f t="shared" si="16"/>
        <v>0</v>
      </c>
      <c r="C316" s="3">
        <f t="shared" si="17"/>
        <v>-0.12800000000010048</v>
      </c>
      <c r="D316" s="3">
        <f t="shared" si="18"/>
        <v>-0.12</v>
      </c>
      <c r="E316" s="3">
        <f t="shared" si="19"/>
        <v>-0.24800000000010047</v>
      </c>
    </row>
    <row r="317" spans="1:5" x14ac:dyDescent="0.3">
      <c r="A317" s="3">
        <v>6.3090000000000996</v>
      </c>
      <c r="B317" s="3">
        <f t="shared" si="16"/>
        <v>0</v>
      </c>
      <c r="C317" s="3">
        <f t="shared" si="17"/>
        <v>-0.12900000000009992</v>
      </c>
      <c r="D317" s="3">
        <f t="shared" si="18"/>
        <v>-0.12</v>
      </c>
      <c r="E317" s="3">
        <f t="shared" si="19"/>
        <v>-0.24900000000009992</v>
      </c>
    </row>
    <row r="318" spans="1:5" x14ac:dyDescent="0.3">
      <c r="A318" s="3">
        <v>6.3100000000001</v>
      </c>
      <c r="B318" s="3">
        <f t="shared" si="16"/>
        <v>0</v>
      </c>
      <c r="C318" s="3">
        <f t="shared" si="17"/>
        <v>-0.13000000000010026</v>
      </c>
      <c r="D318" s="3">
        <f t="shared" si="18"/>
        <v>-0.12</v>
      </c>
      <c r="E318" s="3">
        <f t="shared" si="19"/>
        <v>-0.25000000000010025</v>
      </c>
    </row>
    <row r="319" spans="1:5" x14ac:dyDescent="0.3">
      <c r="A319" s="3">
        <v>6.3110000000001003</v>
      </c>
      <c r="B319" s="3">
        <f t="shared" si="16"/>
        <v>0</v>
      </c>
      <c r="C319" s="3">
        <f t="shared" si="17"/>
        <v>-0.13100000000010059</v>
      </c>
      <c r="D319" s="3">
        <f t="shared" si="18"/>
        <v>-0.12</v>
      </c>
      <c r="E319" s="3">
        <f t="shared" si="19"/>
        <v>-0.25100000000010059</v>
      </c>
    </row>
    <row r="320" spans="1:5" x14ac:dyDescent="0.3">
      <c r="A320" s="3">
        <v>6.3120000000000998</v>
      </c>
      <c r="B320" s="3">
        <f t="shared" si="16"/>
        <v>0</v>
      </c>
      <c r="C320" s="3">
        <f t="shared" si="17"/>
        <v>-0.13200000000010004</v>
      </c>
      <c r="D320" s="3">
        <f t="shared" si="18"/>
        <v>-0.12</v>
      </c>
      <c r="E320" s="3">
        <f t="shared" si="19"/>
        <v>-0.25200000000010003</v>
      </c>
    </row>
    <row r="321" spans="1:5" x14ac:dyDescent="0.3">
      <c r="A321" s="3">
        <v>6.3130000000001099</v>
      </c>
      <c r="B321" s="3">
        <f t="shared" si="16"/>
        <v>0</v>
      </c>
      <c r="C321" s="3">
        <f t="shared" si="17"/>
        <v>-0.13300000000011014</v>
      </c>
      <c r="D321" s="3">
        <f t="shared" si="18"/>
        <v>-0.12</v>
      </c>
      <c r="E321" s="3">
        <f t="shared" si="19"/>
        <v>-0.25300000000011014</v>
      </c>
    </row>
    <row r="322" spans="1:5" x14ac:dyDescent="0.3">
      <c r="A322" s="3">
        <v>6.3140000000001004</v>
      </c>
      <c r="B322" s="3">
        <f t="shared" si="16"/>
        <v>0</v>
      </c>
      <c r="C322" s="3">
        <f t="shared" si="17"/>
        <v>-0.13400000000010071</v>
      </c>
      <c r="D322" s="3">
        <f t="shared" si="18"/>
        <v>-0.12</v>
      </c>
      <c r="E322" s="3">
        <f t="shared" si="19"/>
        <v>-0.2540000000001007</v>
      </c>
    </row>
    <row r="323" spans="1:5" x14ac:dyDescent="0.3">
      <c r="A323" s="3">
        <v>6.3150000000001096</v>
      </c>
      <c r="B323" s="3">
        <f t="shared" si="16"/>
        <v>0</v>
      </c>
      <c r="C323" s="3">
        <f t="shared" si="17"/>
        <v>-0.13500000000010992</v>
      </c>
      <c r="D323" s="3">
        <f t="shared" si="18"/>
        <v>-0.12</v>
      </c>
      <c r="E323" s="3">
        <f t="shared" si="19"/>
        <v>-0.25500000000010992</v>
      </c>
    </row>
    <row r="324" spans="1:5" x14ac:dyDescent="0.3">
      <c r="A324" s="3">
        <v>6.31600000000011</v>
      </c>
      <c r="B324" s="3">
        <f t="shared" si="16"/>
        <v>0</v>
      </c>
      <c r="C324" s="3">
        <f t="shared" si="17"/>
        <v>-0.13600000000011025</v>
      </c>
      <c r="D324" s="3">
        <f t="shared" si="18"/>
        <v>-0.12</v>
      </c>
      <c r="E324" s="3">
        <f t="shared" si="19"/>
        <v>-0.25600000000011025</v>
      </c>
    </row>
    <row r="325" spans="1:5" x14ac:dyDescent="0.3">
      <c r="A325" s="3">
        <v>6.3170000000001103</v>
      </c>
      <c r="B325" s="3">
        <f t="shared" si="16"/>
        <v>0</v>
      </c>
      <c r="C325" s="3">
        <f t="shared" si="17"/>
        <v>-0.13700000000011059</v>
      </c>
      <c r="D325" s="3">
        <f t="shared" si="18"/>
        <v>-0.12</v>
      </c>
      <c r="E325" s="3">
        <f t="shared" si="19"/>
        <v>-0.25700000000011058</v>
      </c>
    </row>
    <row r="326" spans="1:5" x14ac:dyDescent="0.3">
      <c r="A326" s="3">
        <v>6.3180000000001098</v>
      </c>
      <c r="B326" s="3">
        <f t="shared" si="16"/>
        <v>0</v>
      </c>
      <c r="C326" s="3">
        <f t="shared" si="17"/>
        <v>-0.13800000000011003</v>
      </c>
      <c r="D326" s="3">
        <f t="shared" si="18"/>
        <v>-0.12</v>
      </c>
      <c r="E326" s="3">
        <f t="shared" si="19"/>
        <v>-0.25800000000011003</v>
      </c>
    </row>
    <row r="327" spans="1:5" x14ac:dyDescent="0.3">
      <c r="A327" s="3">
        <v>6.3190000000001101</v>
      </c>
      <c r="B327" s="3">
        <f t="shared" si="16"/>
        <v>0</v>
      </c>
      <c r="C327" s="3">
        <f t="shared" si="17"/>
        <v>-0.13900000000011037</v>
      </c>
      <c r="D327" s="3">
        <f t="shared" si="18"/>
        <v>-0.12</v>
      </c>
      <c r="E327" s="3">
        <f t="shared" si="19"/>
        <v>-0.25900000000011036</v>
      </c>
    </row>
    <row r="328" spans="1:5" x14ac:dyDescent="0.3">
      <c r="A328" s="3">
        <v>6.3200000000001104</v>
      </c>
      <c r="B328" s="3">
        <f t="shared" si="16"/>
        <v>0</v>
      </c>
      <c r="C328" s="3">
        <f t="shared" si="17"/>
        <v>-0.1400000000001107</v>
      </c>
      <c r="D328" s="3">
        <f t="shared" si="18"/>
        <v>-0.12</v>
      </c>
      <c r="E328" s="3">
        <f t="shared" si="19"/>
        <v>-0.2600000000001107</v>
      </c>
    </row>
    <row r="329" spans="1:5" x14ac:dyDescent="0.3">
      <c r="A329" s="3">
        <v>6.3210000000001099</v>
      </c>
      <c r="B329" s="3">
        <f t="shared" ref="B329:B358" si="20">MAX($B$2-A329,0)</f>
        <v>0</v>
      </c>
      <c r="C329" s="3">
        <f t="shared" ref="C329:C358" si="21">MAX(A329-$B$3,0)*(-1)</f>
        <v>-0.14100000000011015</v>
      </c>
      <c r="D329" s="3">
        <f t="shared" ref="D329:D358" si="22">IF(A329&gt;6.18,0.06,0)*(-2)</f>
        <v>-0.12</v>
      </c>
      <c r="E329" s="3">
        <f t="shared" ref="E329:E358" si="23">SUM(B329:D329)</f>
        <v>-0.26100000000011014</v>
      </c>
    </row>
    <row r="330" spans="1:5" x14ac:dyDescent="0.3">
      <c r="A330" s="3">
        <v>6.3220000000001102</v>
      </c>
      <c r="B330" s="3">
        <f t="shared" si="20"/>
        <v>0</v>
      </c>
      <c r="C330" s="3">
        <f t="shared" si="21"/>
        <v>-0.14200000000011048</v>
      </c>
      <c r="D330" s="3">
        <f t="shared" si="22"/>
        <v>-0.12</v>
      </c>
      <c r="E330" s="3">
        <f t="shared" si="23"/>
        <v>-0.26200000000011048</v>
      </c>
    </row>
    <row r="331" spans="1:5" x14ac:dyDescent="0.3">
      <c r="A331" s="3">
        <v>6.3230000000001096</v>
      </c>
      <c r="B331" s="3">
        <f t="shared" si="20"/>
        <v>0</v>
      </c>
      <c r="C331" s="3">
        <f t="shared" si="21"/>
        <v>-0.14300000000010993</v>
      </c>
      <c r="D331" s="3">
        <f t="shared" si="22"/>
        <v>-0.12</v>
      </c>
      <c r="E331" s="3">
        <f t="shared" si="23"/>
        <v>-0.26300000000010992</v>
      </c>
    </row>
    <row r="332" spans="1:5" x14ac:dyDescent="0.3">
      <c r="A332" s="3">
        <v>6.32400000000011</v>
      </c>
      <c r="B332" s="3">
        <f t="shared" si="20"/>
        <v>0</v>
      </c>
      <c r="C332" s="3">
        <f t="shared" si="21"/>
        <v>-0.14400000000011026</v>
      </c>
      <c r="D332" s="3">
        <f t="shared" si="22"/>
        <v>-0.12</v>
      </c>
      <c r="E332" s="3">
        <f t="shared" si="23"/>
        <v>-0.26400000000011026</v>
      </c>
    </row>
    <row r="333" spans="1:5" x14ac:dyDescent="0.3">
      <c r="A333" s="3">
        <v>6.3250000000001103</v>
      </c>
      <c r="B333" s="3">
        <f t="shared" si="20"/>
        <v>0</v>
      </c>
      <c r="C333" s="3">
        <f t="shared" si="21"/>
        <v>-0.1450000000001106</v>
      </c>
      <c r="D333" s="3">
        <f t="shared" si="22"/>
        <v>-0.12</v>
      </c>
      <c r="E333" s="3">
        <f t="shared" si="23"/>
        <v>-0.26500000000011059</v>
      </c>
    </row>
    <row r="334" spans="1:5" x14ac:dyDescent="0.3">
      <c r="A334" s="3">
        <v>6.3260000000001098</v>
      </c>
      <c r="B334" s="3">
        <f t="shared" si="20"/>
        <v>0</v>
      </c>
      <c r="C334" s="3">
        <f t="shared" si="21"/>
        <v>-0.14600000000011004</v>
      </c>
      <c r="D334" s="3">
        <f t="shared" si="22"/>
        <v>-0.12</v>
      </c>
      <c r="E334" s="3">
        <f t="shared" si="23"/>
        <v>-0.26600000000011004</v>
      </c>
    </row>
    <row r="335" spans="1:5" x14ac:dyDescent="0.3">
      <c r="A335" s="3">
        <v>6.3270000000001101</v>
      </c>
      <c r="B335" s="3">
        <f t="shared" si="20"/>
        <v>0</v>
      </c>
      <c r="C335" s="3">
        <f t="shared" si="21"/>
        <v>-0.14700000000011038</v>
      </c>
      <c r="D335" s="3">
        <f t="shared" si="22"/>
        <v>-0.12</v>
      </c>
      <c r="E335" s="3">
        <f t="shared" si="23"/>
        <v>-0.26700000000011037</v>
      </c>
    </row>
    <row r="336" spans="1:5" x14ac:dyDescent="0.3">
      <c r="A336" s="3">
        <v>6.3280000000001104</v>
      </c>
      <c r="B336" s="3">
        <f t="shared" si="20"/>
        <v>0</v>
      </c>
      <c r="C336" s="3">
        <f t="shared" si="21"/>
        <v>-0.14800000000011071</v>
      </c>
      <c r="D336" s="3">
        <f t="shared" si="22"/>
        <v>-0.12</v>
      </c>
      <c r="E336" s="3">
        <f t="shared" si="23"/>
        <v>-0.26800000000011071</v>
      </c>
    </row>
    <row r="337" spans="1:5" x14ac:dyDescent="0.3">
      <c r="A337" s="3">
        <v>6.3290000000001099</v>
      </c>
      <c r="B337" s="3">
        <f t="shared" si="20"/>
        <v>0</v>
      </c>
      <c r="C337" s="3">
        <f t="shared" si="21"/>
        <v>-0.14900000000011016</v>
      </c>
      <c r="D337" s="3">
        <f t="shared" si="22"/>
        <v>-0.12</v>
      </c>
      <c r="E337" s="3">
        <f t="shared" si="23"/>
        <v>-0.26900000000011015</v>
      </c>
    </row>
    <row r="338" spans="1:5" x14ac:dyDescent="0.3">
      <c r="A338" s="3">
        <v>6.3300000000001102</v>
      </c>
      <c r="B338" s="3">
        <f t="shared" si="20"/>
        <v>0</v>
      </c>
      <c r="C338" s="3">
        <f t="shared" si="21"/>
        <v>-0.15000000000011049</v>
      </c>
      <c r="D338" s="3">
        <f t="shared" si="22"/>
        <v>-0.12</v>
      </c>
      <c r="E338" s="3">
        <f t="shared" si="23"/>
        <v>-0.27000000000011048</v>
      </c>
    </row>
    <row r="339" spans="1:5" x14ac:dyDescent="0.3">
      <c r="A339" s="3">
        <v>6.3310000000001097</v>
      </c>
      <c r="B339" s="3">
        <f t="shared" si="20"/>
        <v>0</v>
      </c>
      <c r="C339" s="3">
        <f t="shared" si="21"/>
        <v>-0.15100000000010994</v>
      </c>
      <c r="D339" s="3">
        <f t="shared" si="22"/>
        <v>-0.12</v>
      </c>
      <c r="E339" s="3">
        <f t="shared" si="23"/>
        <v>-0.27100000000010993</v>
      </c>
    </row>
    <row r="340" spans="1:5" x14ac:dyDescent="0.3">
      <c r="A340" s="3">
        <v>6.33200000000011</v>
      </c>
      <c r="B340" s="3">
        <f t="shared" si="20"/>
        <v>0</v>
      </c>
      <c r="C340" s="3">
        <f t="shared" si="21"/>
        <v>-0.15200000000011027</v>
      </c>
      <c r="D340" s="3">
        <f t="shared" si="22"/>
        <v>-0.12</v>
      </c>
      <c r="E340" s="3">
        <f t="shared" si="23"/>
        <v>-0.27200000000011026</v>
      </c>
    </row>
    <row r="341" spans="1:5" x14ac:dyDescent="0.3">
      <c r="A341" s="3">
        <v>6.3330000000001103</v>
      </c>
      <c r="B341" s="3">
        <f t="shared" si="20"/>
        <v>0</v>
      </c>
      <c r="C341" s="3">
        <f t="shared" si="21"/>
        <v>-0.1530000000001106</v>
      </c>
      <c r="D341" s="3">
        <f t="shared" si="22"/>
        <v>-0.12</v>
      </c>
      <c r="E341" s="3">
        <f t="shared" si="23"/>
        <v>-0.2730000000001106</v>
      </c>
    </row>
    <row r="342" spans="1:5" x14ac:dyDescent="0.3">
      <c r="A342" s="3">
        <v>6.3340000000001098</v>
      </c>
      <c r="B342" s="3">
        <f t="shared" si="20"/>
        <v>0</v>
      </c>
      <c r="C342" s="3">
        <f t="shared" si="21"/>
        <v>-0.15400000000011005</v>
      </c>
      <c r="D342" s="3">
        <f t="shared" si="22"/>
        <v>-0.12</v>
      </c>
      <c r="E342" s="3">
        <f t="shared" si="23"/>
        <v>-0.27400000000011004</v>
      </c>
    </row>
    <row r="343" spans="1:5" x14ac:dyDescent="0.3">
      <c r="A343" s="3">
        <v>6.3350000000001101</v>
      </c>
      <c r="B343" s="3">
        <f t="shared" si="20"/>
        <v>0</v>
      </c>
      <c r="C343" s="3">
        <f t="shared" si="21"/>
        <v>-0.15500000000011038</v>
      </c>
      <c r="D343" s="3">
        <f t="shared" si="22"/>
        <v>-0.12</v>
      </c>
      <c r="E343" s="3">
        <f t="shared" si="23"/>
        <v>-0.27500000000011038</v>
      </c>
    </row>
    <row r="344" spans="1:5" x14ac:dyDescent="0.3">
      <c r="A344" s="3">
        <v>6.3360000000001104</v>
      </c>
      <c r="B344" s="3">
        <f t="shared" si="20"/>
        <v>0</v>
      </c>
      <c r="C344" s="3">
        <f t="shared" si="21"/>
        <v>-0.15600000000011072</v>
      </c>
      <c r="D344" s="3">
        <f t="shared" si="22"/>
        <v>-0.12</v>
      </c>
      <c r="E344" s="3">
        <f t="shared" si="23"/>
        <v>-0.27600000000011071</v>
      </c>
    </row>
    <row r="345" spans="1:5" x14ac:dyDescent="0.3">
      <c r="A345" s="3">
        <v>6.3370000000001099</v>
      </c>
      <c r="B345" s="3">
        <f t="shared" si="20"/>
        <v>0</v>
      </c>
      <c r="C345" s="3">
        <f t="shared" si="21"/>
        <v>-0.15700000000011016</v>
      </c>
      <c r="D345" s="3">
        <f t="shared" si="22"/>
        <v>-0.12</v>
      </c>
      <c r="E345" s="3">
        <f t="shared" si="23"/>
        <v>-0.27700000000011016</v>
      </c>
    </row>
    <row r="346" spans="1:5" x14ac:dyDescent="0.3">
      <c r="A346" s="3">
        <v>6.3380000000001102</v>
      </c>
      <c r="B346" s="3">
        <f t="shared" si="20"/>
        <v>0</v>
      </c>
      <c r="C346" s="3">
        <f t="shared" si="21"/>
        <v>-0.1580000000001105</v>
      </c>
      <c r="D346" s="3">
        <f t="shared" si="22"/>
        <v>-0.12</v>
      </c>
      <c r="E346" s="3">
        <f t="shared" si="23"/>
        <v>-0.27800000000011049</v>
      </c>
    </row>
    <row r="347" spans="1:5" x14ac:dyDescent="0.3">
      <c r="A347" s="3">
        <v>6.3390000000001097</v>
      </c>
      <c r="B347" s="3">
        <f t="shared" si="20"/>
        <v>0</v>
      </c>
      <c r="C347" s="3">
        <f t="shared" si="21"/>
        <v>-0.15900000000010994</v>
      </c>
      <c r="D347" s="3">
        <f t="shared" si="22"/>
        <v>-0.12</v>
      </c>
      <c r="E347" s="3">
        <f t="shared" si="23"/>
        <v>-0.27900000000010994</v>
      </c>
    </row>
    <row r="348" spans="1:5" x14ac:dyDescent="0.3">
      <c r="A348" s="3">
        <v>6.34000000000011</v>
      </c>
      <c r="B348" s="3">
        <f t="shared" si="20"/>
        <v>0</v>
      </c>
      <c r="C348" s="3">
        <f t="shared" si="21"/>
        <v>-0.16000000000011028</v>
      </c>
      <c r="D348" s="3">
        <f t="shared" si="22"/>
        <v>-0.12</v>
      </c>
      <c r="E348" s="3">
        <f t="shared" si="23"/>
        <v>-0.28000000000011027</v>
      </c>
    </row>
    <row r="349" spans="1:5" x14ac:dyDescent="0.3">
      <c r="A349" s="3">
        <v>6.3410000000001103</v>
      </c>
      <c r="B349" s="3">
        <f t="shared" si="20"/>
        <v>0</v>
      </c>
      <c r="C349" s="3">
        <f t="shared" si="21"/>
        <v>-0.16100000000011061</v>
      </c>
      <c r="D349" s="3">
        <f t="shared" si="22"/>
        <v>-0.12</v>
      </c>
      <c r="E349" s="3">
        <f t="shared" si="23"/>
        <v>-0.28100000000011061</v>
      </c>
    </row>
    <row r="350" spans="1:5" x14ac:dyDescent="0.3">
      <c r="A350" s="3">
        <v>6.3420000000001098</v>
      </c>
      <c r="B350" s="3">
        <f t="shared" si="20"/>
        <v>0</v>
      </c>
      <c r="C350" s="3">
        <f t="shared" si="21"/>
        <v>-0.16200000000011006</v>
      </c>
      <c r="D350" s="3">
        <f t="shared" si="22"/>
        <v>-0.12</v>
      </c>
      <c r="E350" s="3">
        <f t="shared" si="23"/>
        <v>-0.28200000000011005</v>
      </c>
    </row>
    <row r="351" spans="1:5" x14ac:dyDescent="0.3">
      <c r="A351" s="3">
        <v>6.3430000000001199</v>
      </c>
      <c r="B351" s="3">
        <f t="shared" si="20"/>
        <v>0</v>
      </c>
      <c r="C351" s="3">
        <f t="shared" si="21"/>
        <v>-0.16300000000012016</v>
      </c>
      <c r="D351" s="3">
        <f t="shared" si="22"/>
        <v>-0.12</v>
      </c>
      <c r="E351" s="3">
        <f t="shared" si="23"/>
        <v>-0.28300000000012016</v>
      </c>
    </row>
    <row r="352" spans="1:5" x14ac:dyDescent="0.3">
      <c r="A352" s="3">
        <v>6.3440000000001104</v>
      </c>
      <c r="B352" s="3">
        <f t="shared" si="20"/>
        <v>0</v>
      </c>
      <c r="C352" s="3">
        <f t="shared" si="21"/>
        <v>-0.16400000000011072</v>
      </c>
      <c r="D352" s="3">
        <f t="shared" si="22"/>
        <v>-0.12</v>
      </c>
      <c r="E352" s="3">
        <f t="shared" si="23"/>
        <v>-0.28400000000011072</v>
      </c>
    </row>
    <row r="353" spans="1:5" x14ac:dyDescent="0.3">
      <c r="A353" s="3">
        <v>6.3450000000001197</v>
      </c>
      <c r="B353" s="3">
        <f t="shared" si="20"/>
        <v>0</v>
      </c>
      <c r="C353" s="3">
        <f t="shared" si="21"/>
        <v>-0.16500000000011994</v>
      </c>
      <c r="D353" s="3">
        <f t="shared" si="22"/>
        <v>-0.12</v>
      </c>
      <c r="E353" s="3">
        <f t="shared" si="23"/>
        <v>-0.28500000000011994</v>
      </c>
    </row>
    <row r="354" spans="1:5" x14ac:dyDescent="0.3">
      <c r="A354" s="3">
        <v>6.34600000000012</v>
      </c>
      <c r="B354" s="3">
        <f t="shared" si="20"/>
        <v>0</v>
      </c>
      <c r="C354" s="3">
        <f t="shared" si="21"/>
        <v>-0.16600000000012027</v>
      </c>
      <c r="D354" s="3">
        <f t="shared" si="22"/>
        <v>-0.12</v>
      </c>
      <c r="E354" s="3">
        <f t="shared" si="23"/>
        <v>-0.28600000000012027</v>
      </c>
    </row>
    <row r="355" spans="1:5" x14ac:dyDescent="0.3">
      <c r="A355" s="3">
        <v>6.3470000000001203</v>
      </c>
      <c r="B355" s="3">
        <f t="shared" si="20"/>
        <v>0</v>
      </c>
      <c r="C355" s="3">
        <f t="shared" si="21"/>
        <v>-0.16700000000012061</v>
      </c>
      <c r="D355" s="3">
        <f t="shared" si="22"/>
        <v>-0.12</v>
      </c>
      <c r="E355" s="3">
        <f t="shared" si="23"/>
        <v>-0.2870000000001206</v>
      </c>
    </row>
    <row r="356" spans="1:5" x14ac:dyDescent="0.3">
      <c r="A356" s="3">
        <v>6.3480000000001198</v>
      </c>
      <c r="B356" s="3">
        <f t="shared" si="20"/>
        <v>0</v>
      </c>
      <c r="C356" s="3">
        <f t="shared" si="21"/>
        <v>-0.16800000000012005</v>
      </c>
      <c r="D356" s="3">
        <f t="shared" si="22"/>
        <v>-0.12</v>
      </c>
      <c r="E356" s="3">
        <f t="shared" si="23"/>
        <v>-0.28800000000012005</v>
      </c>
    </row>
    <row r="357" spans="1:5" x14ac:dyDescent="0.3">
      <c r="A357" s="3">
        <v>6.3490000000001201</v>
      </c>
      <c r="B357" s="3">
        <f t="shared" si="20"/>
        <v>0</v>
      </c>
      <c r="C357" s="3">
        <f t="shared" si="21"/>
        <v>-0.16900000000012039</v>
      </c>
      <c r="D357" s="3">
        <f t="shared" si="22"/>
        <v>-0.12</v>
      </c>
      <c r="E357" s="3">
        <f t="shared" si="23"/>
        <v>-0.28900000000012038</v>
      </c>
    </row>
    <row r="358" spans="1:5" x14ac:dyDescent="0.3">
      <c r="A358" s="3">
        <v>6.3500000000001204</v>
      </c>
      <c r="B358" s="3">
        <f t="shared" si="20"/>
        <v>0</v>
      </c>
      <c r="C358" s="3">
        <f t="shared" si="21"/>
        <v>-0.17000000000012072</v>
      </c>
      <c r="D358" s="3">
        <f t="shared" si="22"/>
        <v>-0.12</v>
      </c>
      <c r="E358" s="3">
        <f t="shared" si="23"/>
        <v>-0.29000000000012072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Barrier</vt:lpstr>
      <vt:lpstr>TRF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Lee</dc:creator>
  <cp:lastModifiedBy>Kyle Lee</cp:lastModifiedBy>
  <dcterms:created xsi:type="dcterms:W3CDTF">2017-05-13T14:57:39Z</dcterms:created>
  <dcterms:modified xsi:type="dcterms:W3CDTF">2017-05-15T09:43:42Z</dcterms:modified>
</cp:coreProperties>
</file>