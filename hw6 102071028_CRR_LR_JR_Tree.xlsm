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6.xml" ContentType="application/vnd.ms-excel.controlpropertie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14.xml" ContentType="application/vnd.ms-excel.controlproperties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Homework\金融商品設計與定價作業\"/>
    </mc:Choice>
  </mc:AlternateContent>
  <bookViews>
    <workbookView xWindow="0" yWindow="0" windowWidth="19200" windowHeight="6996" firstSheet="1" activeTab="6"/>
  </bookViews>
  <sheets>
    <sheet name="Home" sheetId="3" r:id="rId1"/>
    <sheet name="Simplified" sheetId="1" r:id="rId2"/>
    <sheet name="Simplified_Sub" sheetId="2" r:id="rId3"/>
    <sheet name="JR_Tree" sheetId="5" r:id="rId4"/>
    <sheet name="JR_Tree_fn" sheetId="6" r:id="rId5"/>
    <sheet name="JR_Tree_sub" sheetId="7" r:id="rId6"/>
    <sheet name="oil" sheetId="4" r:id="rId7"/>
    <sheet name="CCR_Tree_fn" sheetId="8" r:id="rId8"/>
    <sheet name="Convergence of CCR" sheetId="9" r:id="rId9"/>
    <sheet name="Compare" sheetId="11" r:id="rId10"/>
  </sheets>
  <functionGroups builtInGroupCount="18"/>
  <definedNames>
    <definedName name="JRp0">JR_Tree_sub!$D$4</definedName>
    <definedName name="JRstep">JR_Tree_sub!$D$15</definedName>
    <definedName name="n">Simplified_Sub!$C$4</definedName>
    <definedName name="p0">Simplified_Sub!$C$6</definedName>
    <definedName name="u">Simplified_Sub!$C$5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4" l="1" a="1"/>
  <c r="G15" i="4"/>
  <c r="H7" i="9"/>
  <c r="H6" i="9"/>
  <c r="I11" i="9"/>
  <c r="I12" i="9"/>
  <c r="I17" i="9"/>
  <c r="I13" i="9"/>
  <c r="I14" i="9"/>
  <c r="I15" i="9"/>
  <c r="I16" i="9"/>
  <c r="I10" i="9"/>
  <c r="H10" i="9"/>
  <c r="G15" i="5"/>
  <c r="H11" i="9"/>
  <c r="H12" i="9"/>
  <c r="H13" i="9"/>
  <c r="H14" i="9"/>
  <c r="H15" i="9"/>
  <c r="H16" i="9"/>
  <c r="H17" i="9"/>
  <c r="G10" i="9"/>
  <c r="G11" i="9"/>
  <c r="G12" i="9"/>
  <c r="G13" i="9"/>
  <c r="G14" i="9"/>
  <c r="G15" i="9"/>
  <c r="G16" i="9"/>
  <c r="G17" i="9"/>
  <c r="H5" i="9"/>
  <c r="F17" i="9"/>
  <c r="F16" i="9"/>
  <c r="F15" i="9"/>
  <c r="F14" i="9"/>
  <c r="F13" i="9"/>
  <c r="F12" i="9"/>
  <c r="F11" i="9"/>
  <c r="F10" i="9"/>
  <c r="H4" i="9"/>
  <c r="G16" i="8"/>
  <c r="G17" i="8"/>
  <c r="P22" i="4" l="1"/>
  <c r="N24" i="4"/>
  <c r="M25" i="4"/>
  <c r="C27" i="4"/>
  <c r="B28" i="4"/>
  <c r="I29" i="4"/>
  <c r="P30" i="4"/>
  <c r="O31" i="4"/>
  <c r="E33" i="4"/>
  <c r="D34" i="4"/>
  <c r="K35" i="4"/>
  <c r="J36" i="4"/>
  <c r="Q37" i="4"/>
  <c r="B21" i="4"/>
  <c r="J21" i="4"/>
  <c r="R21" i="4"/>
  <c r="I22" i="4"/>
  <c r="Q22" i="4"/>
  <c r="H23" i="4"/>
  <c r="P23" i="4"/>
  <c r="G24" i="4"/>
  <c r="O24" i="4"/>
  <c r="F25" i="4"/>
  <c r="N25" i="4"/>
  <c r="E26" i="4"/>
  <c r="M26" i="4"/>
  <c r="D27" i="4"/>
  <c r="L27" i="4"/>
  <c r="C28" i="4"/>
  <c r="K28" i="4"/>
  <c r="B29" i="4"/>
  <c r="J29" i="4"/>
  <c r="R29" i="4"/>
  <c r="I30" i="4"/>
  <c r="Q30" i="4"/>
  <c r="H31" i="4"/>
  <c r="P31" i="4"/>
  <c r="G32" i="4"/>
  <c r="O32" i="4"/>
  <c r="F33" i="4"/>
  <c r="N33" i="4"/>
  <c r="E34" i="4"/>
  <c r="M34" i="4"/>
  <c r="D35" i="4"/>
  <c r="L35" i="4"/>
  <c r="C36" i="4"/>
  <c r="K36" i="4"/>
  <c r="B37" i="4"/>
  <c r="J37" i="4"/>
  <c r="R37" i="4"/>
  <c r="M22" i="4"/>
  <c r="H27" i="4"/>
  <c r="E30" i="4"/>
  <c r="B33" i="4"/>
  <c r="H35" i="4"/>
  <c r="N37" i="4"/>
  <c r="N22" i="4"/>
  <c r="B26" i="4"/>
  <c r="H28" i="4"/>
  <c r="F30" i="4"/>
  <c r="L32" i="4"/>
  <c r="J34" i="4"/>
  <c r="H36" i="4"/>
  <c r="C21" i="4"/>
  <c r="K21" i="4"/>
  <c r="B22" i="4"/>
  <c r="J22" i="4"/>
  <c r="R22" i="4"/>
  <c r="I23" i="4"/>
  <c r="Q23" i="4"/>
  <c r="H24" i="4"/>
  <c r="P24" i="4"/>
  <c r="G25" i="4"/>
  <c r="O25" i="4"/>
  <c r="F26" i="4"/>
  <c r="N26" i="4"/>
  <c r="E27" i="4"/>
  <c r="M27" i="4"/>
  <c r="D28" i="4"/>
  <c r="L28" i="4"/>
  <c r="C29" i="4"/>
  <c r="K29" i="4"/>
  <c r="B30" i="4"/>
  <c r="J30" i="4"/>
  <c r="R30" i="4"/>
  <c r="I31" i="4"/>
  <c r="Q31" i="4"/>
  <c r="H32" i="4"/>
  <c r="P32" i="4"/>
  <c r="G33" i="4"/>
  <c r="O33" i="4"/>
  <c r="F34" i="4"/>
  <c r="N34" i="4"/>
  <c r="E35" i="4"/>
  <c r="M35" i="4"/>
  <c r="D36" i="4"/>
  <c r="L36" i="4"/>
  <c r="C37" i="4"/>
  <c r="K37" i="4"/>
  <c r="E22" i="4"/>
  <c r="C24" i="4"/>
  <c r="J25" i="4"/>
  <c r="Q26" i="4"/>
  <c r="O28" i="4"/>
  <c r="M30" i="4"/>
  <c r="C32" i="4"/>
  <c r="R33" i="4"/>
  <c r="G36" i="4"/>
  <c r="F22" i="4"/>
  <c r="D24" i="4"/>
  <c r="K25" i="4"/>
  <c r="I27" i="4"/>
  <c r="G29" i="4"/>
  <c r="E31" i="4"/>
  <c r="C33" i="4"/>
  <c r="R34" i="4"/>
  <c r="P36" i="4"/>
  <c r="D21" i="4"/>
  <c r="L21" i="4"/>
  <c r="C22" i="4"/>
  <c r="K22" i="4"/>
  <c r="B23" i="4"/>
  <c r="J23" i="4"/>
  <c r="R23" i="4"/>
  <c r="I24" i="4"/>
  <c r="Q24" i="4"/>
  <c r="H25" i="4"/>
  <c r="P25" i="4"/>
  <c r="G26" i="4"/>
  <c r="O26" i="4"/>
  <c r="F27" i="4"/>
  <c r="N27" i="4"/>
  <c r="E28" i="4"/>
  <c r="M28" i="4"/>
  <c r="D29" i="4"/>
  <c r="L29" i="4"/>
  <c r="C30" i="4"/>
  <c r="K30" i="4"/>
  <c r="B31" i="4"/>
  <c r="J31" i="4"/>
  <c r="R31" i="4"/>
  <c r="I32" i="4"/>
  <c r="Q32" i="4"/>
  <c r="H33" i="4"/>
  <c r="P33" i="4"/>
  <c r="G34" i="4"/>
  <c r="O34" i="4"/>
  <c r="F35" i="4"/>
  <c r="N35" i="4"/>
  <c r="E36" i="4"/>
  <c r="M36" i="4"/>
  <c r="D37" i="4"/>
  <c r="L37" i="4"/>
  <c r="F21" i="4"/>
  <c r="L23" i="4"/>
  <c r="B25" i="4"/>
  <c r="I26" i="4"/>
  <c r="P27" i="4"/>
  <c r="F29" i="4"/>
  <c r="L31" i="4"/>
  <c r="J33" i="4"/>
  <c r="Q34" i="4"/>
  <c r="O36" i="4"/>
  <c r="G21" i="4"/>
  <c r="M23" i="4"/>
  <c r="C25" i="4"/>
  <c r="J26" i="4"/>
  <c r="Q27" i="4"/>
  <c r="O29" i="4"/>
  <c r="M31" i="4"/>
  <c r="K33" i="4"/>
  <c r="Q35" i="4"/>
  <c r="O37" i="4"/>
  <c r="E21" i="4"/>
  <c r="M21" i="4"/>
  <c r="D22" i="4"/>
  <c r="L22" i="4"/>
  <c r="C23" i="4"/>
  <c r="K23" i="4"/>
  <c r="B24" i="4"/>
  <c r="J24" i="4"/>
  <c r="R24" i="4"/>
  <c r="I25" i="4"/>
  <c r="Q25" i="4"/>
  <c r="H26" i="4"/>
  <c r="P26" i="4"/>
  <c r="G27" i="4"/>
  <c r="O27" i="4"/>
  <c r="F28" i="4"/>
  <c r="N28" i="4"/>
  <c r="E29" i="4"/>
  <c r="M29" i="4"/>
  <c r="D30" i="4"/>
  <c r="L30" i="4"/>
  <c r="C31" i="4"/>
  <c r="K31" i="4"/>
  <c r="B32" i="4"/>
  <c r="J32" i="4"/>
  <c r="R32" i="4"/>
  <c r="I33" i="4"/>
  <c r="Q33" i="4"/>
  <c r="H34" i="4"/>
  <c r="P34" i="4"/>
  <c r="G35" i="4"/>
  <c r="O35" i="4"/>
  <c r="F36" i="4"/>
  <c r="N36" i="4"/>
  <c r="E37" i="4"/>
  <c r="M37" i="4"/>
  <c r="N21" i="4"/>
  <c r="D23" i="4"/>
  <c r="K24" i="4"/>
  <c r="R25" i="4"/>
  <c r="G28" i="4"/>
  <c r="N29" i="4"/>
  <c r="D31" i="4"/>
  <c r="K32" i="4"/>
  <c r="I34" i="4"/>
  <c r="P35" i="4"/>
  <c r="F37" i="4"/>
  <c r="O21" i="4"/>
  <c r="E23" i="4"/>
  <c r="L24" i="4"/>
  <c r="R26" i="4"/>
  <c r="P28" i="4"/>
  <c r="N30" i="4"/>
  <c r="D32" i="4"/>
  <c r="B34" i="4"/>
  <c r="I35" i="4"/>
  <c r="G37" i="4"/>
  <c r="H21" i="4"/>
  <c r="P21" i="4"/>
  <c r="G22" i="4"/>
  <c r="O22" i="4"/>
  <c r="F23" i="4"/>
  <c r="N23" i="4"/>
  <c r="E24" i="4"/>
  <c r="M24" i="4"/>
  <c r="D25" i="4"/>
  <c r="L25" i="4"/>
  <c r="C26" i="4"/>
  <c r="K26" i="4"/>
  <c r="B27" i="4"/>
  <c r="J27" i="4"/>
  <c r="R27" i="4"/>
  <c r="I28" i="4"/>
  <c r="Q28" i="4"/>
  <c r="H29" i="4"/>
  <c r="P29" i="4"/>
  <c r="G30" i="4"/>
  <c r="O30" i="4"/>
  <c r="F31" i="4"/>
  <c r="N31" i="4"/>
  <c r="E32" i="4"/>
  <c r="M32" i="4"/>
  <c r="D33" i="4"/>
  <c r="L33" i="4"/>
  <c r="C34" i="4"/>
  <c r="K34" i="4"/>
  <c r="B35" i="4"/>
  <c r="J35" i="4"/>
  <c r="R35" i="4"/>
  <c r="I36" i="4"/>
  <c r="Q36" i="4"/>
  <c r="H37" i="4"/>
  <c r="P37" i="4"/>
  <c r="I21" i="4"/>
  <c r="Q21" i="4"/>
  <c r="H22" i="4"/>
  <c r="G23" i="4"/>
  <c r="O23" i="4"/>
  <c r="F24" i="4"/>
  <c r="E25" i="4"/>
  <c r="D26" i="4"/>
  <c r="L26" i="4"/>
  <c r="K27" i="4"/>
  <c r="J28" i="4"/>
  <c r="R28" i="4"/>
  <c r="Q29" i="4"/>
  <c r="H30" i="4"/>
  <c r="G31" i="4"/>
  <c r="F32" i="4"/>
  <c r="N32" i="4"/>
  <c r="M33" i="4"/>
  <c r="L34" i="4"/>
  <c r="C35" i="4"/>
  <c r="B36" i="4"/>
  <c r="R36" i="4"/>
  <c r="I37" i="4"/>
  <c r="B12" i="9"/>
  <c r="G12" i="8"/>
  <c r="G11" i="8"/>
  <c r="G8" i="8"/>
  <c r="G10" i="8"/>
  <c r="G9" i="8"/>
  <c r="D12" i="8"/>
  <c r="G6" i="8" s="1"/>
  <c r="G15" i="8"/>
  <c r="B21" i="8" a="1"/>
  <c r="B21" i="8" l="1"/>
  <c r="J21" i="8"/>
  <c r="H22" i="8"/>
  <c r="F23" i="8"/>
  <c r="D24" i="8"/>
  <c r="B25" i="8"/>
  <c r="J25" i="8"/>
  <c r="H26" i="8"/>
  <c r="F27" i="8"/>
  <c r="D28" i="8"/>
  <c r="B29" i="8"/>
  <c r="J29" i="8"/>
  <c r="H30" i="8"/>
  <c r="C26" i="8"/>
  <c r="E29" i="8"/>
  <c r="D22" i="8"/>
  <c r="F25" i="8"/>
  <c r="J27" i="8"/>
  <c r="I24" i="8"/>
  <c r="K27" i="8"/>
  <c r="H21" i="8"/>
  <c r="H25" i="8"/>
  <c r="J28" i="8"/>
  <c r="I21" i="8"/>
  <c r="G26" i="8"/>
  <c r="C21" i="8"/>
  <c r="K21" i="8"/>
  <c r="I22" i="8"/>
  <c r="G23" i="8"/>
  <c r="E24" i="8"/>
  <c r="C25" i="8"/>
  <c r="K25" i="8"/>
  <c r="I26" i="8"/>
  <c r="G27" i="8"/>
  <c r="E28" i="8"/>
  <c r="C29" i="8"/>
  <c r="K29" i="8"/>
  <c r="I30" i="8"/>
  <c r="G24" i="8"/>
  <c r="I27" i="8"/>
  <c r="K30" i="8"/>
  <c r="B23" i="8"/>
  <c r="H24" i="8"/>
  <c r="B27" i="8"/>
  <c r="F29" i="8"/>
  <c r="C27" i="8"/>
  <c r="D23" i="8"/>
  <c r="D27" i="8"/>
  <c r="K24" i="8"/>
  <c r="E27" i="8"/>
  <c r="G30" i="8"/>
  <c r="D21" i="8"/>
  <c r="B22" i="8"/>
  <c r="J22" i="8"/>
  <c r="H23" i="8"/>
  <c r="F24" i="8"/>
  <c r="D25" i="8"/>
  <c r="B26" i="8"/>
  <c r="J26" i="8"/>
  <c r="H27" i="8"/>
  <c r="F28" i="8"/>
  <c r="D29" i="8"/>
  <c r="B30" i="8"/>
  <c r="J30" i="8"/>
  <c r="I23" i="8"/>
  <c r="K26" i="8"/>
  <c r="C30" i="8"/>
  <c r="J23" i="8"/>
  <c r="D26" i="8"/>
  <c r="H28" i="8"/>
  <c r="G25" i="8"/>
  <c r="G29" i="8"/>
  <c r="F22" i="8"/>
  <c r="B28" i="8"/>
  <c r="E23" i="8"/>
  <c r="C28" i="8"/>
  <c r="E21" i="8"/>
  <c r="C22" i="8"/>
  <c r="K22" i="8"/>
  <c r="E25" i="8"/>
  <c r="G28" i="8"/>
  <c r="D30" i="8"/>
  <c r="E26" i="8"/>
  <c r="E30" i="8"/>
  <c r="B24" i="8"/>
  <c r="F26" i="8"/>
  <c r="F30" i="8"/>
  <c r="G22" i="8"/>
  <c r="I25" i="8"/>
  <c r="I29" i="8"/>
  <c r="F21" i="8"/>
  <c r="G21" i="8"/>
  <c r="E22" i="8"/>
  <c r="C23" i="8"/>
  <c r="K23" i="8"/>
  <c r="I28" i="8"/>
  <c r="J24" i="8"/>
  <c r="H29" i="8"/>
  <c r="C24" i="8"/>
  <c r="K28" i="8"/>
  <c r="G7" i="8"/>
  <c r="D12" i="7"/>
  <c r="G9" i="6"/>
  <c r="G15" i="6"/>
  <c r="D12" i="6" l="1"/>
  <c r="G10" i="6"/>
  <c r="G6" i="6"/>
  <c r="C29" i="5"/>
  <c r="D29" i="5"/>
  <c r="E29" i="5"/>
  <c r="F29" i="5"/>
  <c r="G29" i="5"/>
  <c r="H29" i="5"/>
  <c r="I29" i="5"/>
  <c r="C30" i="5"/>
  <c r="D30" i="5"/>
  <c r="E30" i="5"/>
  <c r="F30" i="5"/>
  <c r="G30" i="5"/>
  <c r="H30" i="5"/>
  <c r="I30" i="5"/>
  <c r="J30" i="5"/>
  <c r="C22" i="5"/>
  <c r="D22" i="5" s="1"/>
  <c r="E22" i="5" s="1"/>
  <c r="F22" i="5" s="1"/>
  <c r="G22" i="5" s="1"/>
  <c r="H22" i="5" s="1"/>
  <c r="I22" i="5" s="1"/>
  <c r="J22" i="5" s="1"/>
  <c r="K22" i="5" s="1"/>
  <c r="C23" i="5"/>
  <c r="C24" i="5"/>
  <c r="D24" i="5"/>
  <c r="C25" i="5"/>
  <c r="D25" i="5"/>
  <c r="E25" i="5"/>
  <c r="C26" i="5"/>
  <c r="D26" i="5"/>
  <c r="E26" i="5"/>
  <c r="F26" i="5"/>
  <c r="C27" i="5"/>
  <c r="D27" i="5"/>
  <c r="E27" i="5"/>
  <c r="F27" i="5"/>
  <c r="G27" i="5"/>
  <c r="C28" i="5"/>
  <c r="D28" i="5"/>
  <c r="E28" i="5"/>
  <c r="F28" i="5"/>
  <c r="G28" i="5"/>
  <c r="H28" i="5"/>
  <c r="C21" i="5"/>
  <c r="D21" i="5" s="1"/>
  <c r="E21" i="5" s="1"/>
  <c r="F21" i="5" s="1"/>
  <c r="G21" i="5" s="1"/>
  <c r="H21" i="5" s="1"/>
  <c r="I21" i="5" s="1"/>
  <c r="J21" i="5" s="1"/>
  <c r="K21" i="5" s="1"/>
  <c r="B21" i="5"/>
  <c r="G7" i="5"/>
  <c r="G9" i="5"/>
  <c r="G10" i="5"/>
  <c r="G6" i="5"/>
  <c r="D12" i="5"/>
  <c r="B21" i="6" a="1"/>
  <c r="G17" i="6"/>
  <c r="G17" i="5"/>
  <c r="E21" i="6" l="1"/>
  <c r="I21" i="6"/>
  <c r="C22" i="6"/>
  <c r="G22" i="6"/>
  <c r="K22" i="6"/>
  <c r="E23" i="6"/>
  <c r="I23" i="6"/>
  <c r="C24" i="6"/>
  <c r="G24" i="6"/>
  <c r="I25" i="6"/>
  <c r="C28" i="6"/>
  <c r="E29" i="6"/>
  <c r="K30" i="6"/>
  <c r="B21" i="6"/>
  <c r="F21" i="6"/>
  <c r="J21" i="6"/>
  <c r="D22" i="6"/>
  <c r="H22" i="6"/>
  <c r="B23" i="6"/>
  <c r="F23" i="6"/>
  <c r="J23" i="6"/>
  <c r="D24" i="6"/>
  <c r="H24" i="6"/>
  <c r="B25" i="6"/>
  <c r="F25" i="6"/>
  <c r="J25" i="6"/>
  <c r="D26" i="6"/>
  <c r="H26" i="6"/>
  <c r="B27" i="6"/>
  <c r="F27" i="6"/>
  <c r="J27" i="6"/>
  <c r="D28" i="6"/>
  <c r="H28" i="6"/>
  <c r="B29" i="6"/>
  <c r="F29" i="6"/>
  <c r="J29" i="6"/>
  <c r="D30" i="6"/>
  <c r="H30" i="6"/>
  <c r="I24" i="6"/>
  <c r="G25" i="6"/>
  <c r="E26" i="6"/>
  <c r="C27" i="6"/>
  <c r="G27" i="6"/>
  <c r="E28" i="6"/>
  <c r="I28" i="6"/>
  <c r="G29" i="6"/>
  <c r="E30" i="6"/>
  <c r="I30" i="6"/>
  <c r="D21" i="6"/>
  <c r="B22" i="6"/>
  <c r="J22" i="6"/>
  <c r="D23" i="6"/>
  <c r="B24" i="6"/>
  <c r="J24" i="6"/>
  <c r="H25" i="6"/>
  <c r="F26" i="6"/>
  <c r="D27" i="6"/>
  <c r="B28" i="6"/>
  <c r="J28" i="6"/>
  <c r="H29" i="6"/>
  <c r="F30" i="6"/>
  <c r="K24" i="6"/>
  <c r="C26" i="6"/>
  <c r="K26" i="6"/>
  <c r="I27" i="6"/>
  <c r="K28" i="6"/>
  <c r="C30" i="6"/>
  <c r="C21" i="6"/>
  <c r="G21" i="6"/>
  <c r="K21" i="6"/>
  <c r="E22" i="6"/>
  <c r="I22" i="6"/>
  <c r="C23" i="6"/>
  <c r="G23" i="6"/>
  <c r="K23" i="6"/>
  <c r="E24" i="6"/>
  <c r="C25" i="6"/>
  <c r="K25" i="6"/>
  <c r="I26" i="6"/>
  <c r="K27" i="6"/>
  <c r="C29" i="6"/>
  <c r="K29" i="6"/>
  <c r="H21" i="6"/>
  <c r="F22" i="6"/>
  <c r="H23" i="6"/>
  <c r="F24" i="6"/>
  <c r="D25" i="6"/>
  <c r="B26" i="6"/>
  <c r="J26" i="6"/>
  <c r="H27" i="6"/>
  <c r="F28" i="6"/>
  <c r="D29" i="6"/>
  <c r="B30" i="6"/>
  <c r="J30" i="6"/>
  <c r="E25" i="6"/>
  <c r="G26" i="6"/>
  <c r="E27" i="6"/>
  <c r="G28" i="6"/>
  <c r="I29" i="6"/>
  <c r="G30" i="6"/>
  <c r="G7" i="6"/>
  <c r="D23" i="5"/>
  <c r="E24" i="5" l="1"/>
  <c r="E23" i="5"/>
  <c r="F23" i="5" s="1"/>
  <c r="G23" i="5" s="1"/>
  <c r="H23" i="5" s="1"/>
  <c r="I23" i="5" s="1"/>
  <c r="J23" i="5" s="1"/>
  <c r="K23" i="5" s="1"/>
  <c r="I23" i="1"/>
  <c r="I24" i="1"/>
  <c r="I25" i="1"/>
  <c r="I26" i="1"/>
  <c r="I27" i="1"/>
  <c r="I28" i="1"/>
  <c r="I29" i="1"/>
  <c r="I30" i="1"/>
  <c r="I31" i="1"/>
  <c r="I22" i="1"/>
  <c r="G23" i="1"/>
  <c r="G24" i="1"/>
  <c r="G25" i="1"/>
  <c r="G26" i="1"/>
  <c r="G27" i="1"/>
  <c r="G28" i="1"/>
  <c r="G29" i="1"/>
  <c r="G30" i="1"/>
  <c r="G31" i="1"/>
  <c r="G22" i="1"/>
  <c r="J18" i="1"/>
  <c r="I17" i="1"/>
  <c r="I18" i="1"/>
  <c r="H16" i="1"/>
  <c r="H17" i="1"/>
  <c r="H18" i="1"/>
  <c r="G15" i="1"/>
  <c r="G16" i="1"/>
  <c r="G17" i="1"/>
  <c r="G18" i="1"/>
  <c r="F14" i="1"/>
  <c r="F15" i="1"/>
  <c r="F16" i="1"/>
  <c r="F17" i="1"/>
  <c r="F18" i="1"/>
  <c r="E13" i="1"/>
  <c r="E14" i="1"/>
  <c r="E15" i="1"/>
  <c r="E16" i="1"/>
  <c r="E17" i="1"/>
  <c r="E18" i="1"/>
  <c r="D12" i="1"/>
  <c r="D13" i="1"/>
  <c r="D14" i="1"/>
  <c r="D15" i="1"/>
  <c r="D16" i="1"/>
  <c r="D17" i="1"/>
  <c r="D18" i="1"/>
  <c r="C5" i="1"/>
  <c r="C10" i="1"/>
  <c r="D10" i="1" s="1"/>
  <c r="E10" i="1" s="1"/>
  <c r="F10" i="1" s="1"/>
  <c r="G10" i="1" s="1"/>
  <c r="H10" i="1" s="1"/>
  <c r="I10" i="1" s="1"/>
  <c r="J10" i="1" s="1"/>
  <c r="K10" i="1" s="1"/>
  <c r="E23" i="1" s="1"/>
  <c r="C11" i="1"/>
  <c r="C12" i="1"/>
  <c r="C13" i="1"/>
  <c r="C15" i="1"/>
  <c r="C16" i="1"/>
  <c r="C17" i="1"/>
  <c r="C18" i="1"/>
  <c r="C9" i="1"/>
  <c r="D9" i="1" s="1"/>
  <c r="E9" i="1" s="1"/>
  <c r="F9" i="1" s="1"/>
  <c r="G9" i="1" s="1"/>
  <c r="H9" i="1" s="1"/>
  <c r="I9" i="1" s="1"/>
  <c r="J9" i="1" s="1"/>
  <c r="K9" i="1" s="1"/>
  <c r="E22" i="1" s="1"/>
  <c r="F24" i="5" l="1"/>
  <c r="G24" i="5" s="1"/>
  <c r="H24" i="5" s="1"/>
  <c r="I24" i="5" s="1"/>
  <c r="J24" i="5" s="1"/>
  <c r="K24" i="5" s="1"/>
  <c r="F25" i="5"/>
  <c r="D11" i="1"/>
  <c r="G26" i="5" l="1"/>
  <c r="G25" i="5"/>
  <c r="H25" i="5" s="1"/>
  <c r="I25" i="5" s="1"/>
  <c r="J25" i="5" s="1"/>
  <c r="K25" i="5" s="1"/>
  <c r="E11" i="1"/>
  <c r="F11" i="1" s="1"/>
  <c r="G11" i="1" s="1"/>
  <c r="H11" i="1" s="1"/>
  <c r="I11" i="1" s="1"/>
  <c r="J11" i="1" s="1"/>
  <c r="K11" i="1" s="1"/>
  <c r="E24" i="1" s="1"/>
  <c r="E12" i="1"/>
  <c r="H27" i="5" l="1"/>
  <c r="H26" i="5"/>
  <c r="I26" i="5" s="1"/>
  <c r="J26" i="5" s="1"/>
  <c r="K26" i="5" s="1"/>
  <c r="F12" i="1"/>
  <c r="G12" i="1" s="1"/>
  <c r="H12" i="1" s="1"/>
  <c r="I12" i="1" s="1"/>
  <c r="J12" i="1" s="1"/>
  <c r="K12" i="1" s="1"/>
  <c r="E25" i="1" s="1"/>
  <c r="F13" i="1"/>
  <c r="I28" i="5" l="1"/>
  <c r="I27" i="5"/>
  <c r="J27" i="5" s="1"/>
  <c r="K27" i="5" s="1"/>
  <c r="G13" i="1"/>
  <c r="H13" i="1" s="1"/>
  <c r="I13" i="1" s="1"/>
  <c r="J13" i="1" s="1"/>
  <c r="K13" i="1" s="1"/>
  <c r="E26" i="1" s="1"/>
  <c r="G14" i="1"/>
  <c r="J28" i="5" l="1"/>
  <c r="K28" i="5" s="1"/>
  <c r="J29" i="5"/>
  <c r="H15" i="1"/>
  <c r="H14" i="1"/>
  <c r="I14" i="1" s="1"/>
  <c r="J14" i="1" s="1"/>
  <c r="K14" i="1" s="1"/>
  <c r="E27" i="1" s="1"/>
  <c r="K29" i="5" l="1"/>
  <c r="K30" i="5"/>
  <c r="I15" i="1"/>
  <c r="J15" i="1" s="1"/>
  <c r="K15" i="1" s="1"/>
  <c r="E28" i="1" s="1"/>
  <c r="I16" i="1"/>
  <c r="J16" i="1" l="1"/>
  <c r="K16" i="1" s="1"/>
  <c r="E29" i="1" s="1"/>
  <c r="J17" i="1"/>
  <c r="K17" i="1" l="1"/>
  <c r="E30" i="1" s="1"/>
  <c r="K18" i="1"/>
  <c r="E31" i="1" s="1"/>
</calcChain>
</file>

<file path=xl/sharedStrings.xml><?xml version="1.0" encoding="utf-8"?>
<sst xmlns="http://schemas.openxmlformats.org/spreadsheetml/2006/main" count="143" uniqueCount="50">
  <si>
    <t>Option1.XLS</t>
    <phoneticPr fontId="1" type="noConversion"/>
  </si>
  <si>
    <t>Adapted JR Binomial Distribution</t>
    <phoneticPr fontId="1" type="noConversion"/>
  </si>
  <si>
    <t>nstep</t>
    <phoneticPr fontId="1" type="noConversion"/>
  </si>
  <si>
    <t>step size</t>
    <phoneticPr fontId="1" type="noConversion"/>
  </si>
  <si>
    <t>p</t>
    <phoneticPr fontId="1" type="noConversion"/>
  </si>
  <si>
    <t>#of up steps</t>
    <phoneticPr fontId="1" type="noConversion"/>
  </si>
  <si>
    <t>End Price</t>
    <phoneticPr fontId="1" type="noConversion"/>
  </si>
  <si>
    <t>#Paths</t>
    <phoneticPr fontId="1" type="noConversion"/>
  </si>
  <si>
    <t>Binomial Probs</t>
    <phoneticPr fontId="1" type="noConversion"/>
  </si>
  <si>
    <t>p0</t>
    <phoneticPr fontId="1" type="noConversion"/>
  </si>
  <si>
    <t>steps in tree</t>
    <phoneticPr fontId="1" type="noConversion"/>
  </si>
  <si>
    <t>iopt</t>
    <phoneticPr fontId="1" type="noConversion"/>
  </si>
  <si>
    <t>option type</t>
    <phoneticPr fontId="1" type="noConversion"/>
  </si>
  <si>
    <t>call</t>
    <phoneticPr fontId="1" type="noConversion"/>
  </si>
  <si>
    <t>via fn</t>
    <phoneticPr fontId="1" type="noConversion"/>
  </si>
  <si>
    <t>Option2.XLS</t>
  </si>
  <si>
    <t>Black-Scholes Formulas(extended to allow for continuous dividends)</t>
  </si>
  <si>
    <t>Share price(S)</t>
  </si>
  <si>
    <t>Exercise price(X)</t>
  </si>
  <si>
    <t>Int rate-cont(r)</t>
  </si>
  <si>
    <t>Dividend yield(q)</t>
  </si>
  <si>
    <t>Time now(0, years)</t>
  </si>
  <si>
    <t>Time maturity(T, years)</t>
  </si>
  <si>
    <t>Option life(T, years)</t>
  </si>
  <si>
    <t>Volatility</t>
  </si>
  <si>
    <t xml:space="preserve">oil value </t>
    <phoneticPr fontId="1" type="noConversion"/>
  </si>
  <si>
    <t>Dividend yield-cont(q)</t>
    <phoneticPr fontId="1" type="noConversion"/>
  </si>
  <si>
    <t>Jarrow &amp; Rudd</t>
    <phoneticPr fontId="1" type="noConversion"/>
  </si>
  <si>
    <t>δt</t>
    <phoneticPr fontId="1" type="noConversion"/>
  </si>
  <si>
    <t>erdt</t>
    <phoneticPr fontId="1" type="noConversion"/>
  </si>
  <si>
    <t>u</t>
    <phoneticPr fontId="1" type="noConversion"/>
  </si>
  <si>
    <t>d</t>
    <phoneticPr fontId="1" type="noConversion"/>
  </si>
  <si>
    <t>p*</t>
    <phoneticPr fontId="1" type="noConversion"/>
  </si>
  <si>
    <t>JR Value</t>
    <phoneticPr fontId="1" type="noConversion"/>
  </si>
  <si>
    <t>BS Value</t>
    <phoneticPr fontId="1" type="noConversion"/>
  </si>
  <si>
    <t>share</t>
    <phoneticPr fontId="1" type="noConversion"/>
  </si>
  <si>
    <t>via fn</t>
    <phoneticPr fontId="1" type="noConversion"/>
  </si>
  <si>
    <t>BS Value</t>
    <phoneticPr fontId="1" type="noConversion"/>
  </si>
  <si>
    <t>ermqdt</t>
    <phoneticPr fontId="1" type="noConversion"/>
  </si>
  <si>
    <t>CCR Value</t>
    <phoneticPr fontId="1" type="noConversion"/>
  </si>
  <si>
    <t>Cox, Ross &amp; Rubinstein</t>
    <phoneticPr fontId="1" type="noConversion"/>
  </si>
  <si>
    <t>Option2.XL</t>
    <phoneticPr fontId="1" type="noConversion"/>
  </si>
  <si>
    <t>CCR Tree</t>
    <phoneticPr fontId="1" type="noConversion"/>
  </si>
  <si>
    <t>LR Tree</t>
    <phoneticPr fontId="1" type="noConversion"/>
  </si>
  <si>
    <t>steps</t>
    <phoneticPr fontId="1" type="noConversion"/>
  </si>
  <si>
    <t>BS</t>
    <phoneticPr fontId="1" type="noConversion"/>
  </si>
  <si>
    <t>CRR</t>
    <phoneticPr fontId="1" type="noConversion"/>
  </si>
  <si>
    <t>LR</t>
    <phoneticPr fontId="1" type="noConversion"/>
  </si>
  <si>
    <t>JR</t>
    <phoneticPr fontId="1" type="noConversion"/>
  </si>
  <si>
    <t>JR Tree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</si>
</sst>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.00_ ;[Red]\-0.00\ "/>
    <numFmt numFmtId="178" formatCode="0.0000_);[Red]\(0.0000\)"/>
    <numFmt numFmtId="181" formatCode="0.00000000000000000000_);[Red]\(0.00000000000000000000\)"/>
  </numFmts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222222"/>
      <name val="新細明體"/>
      <family val="1"/>
      <charset val="136"/>
      <scheme val="maj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3" fillId="0" borderId="0" xfId="0" applyFont="1">
      <alignment vertical="center"/>
    </xf>
    <xf numFmtId="178" fontId="0" fillId="0" borderId="0" xfId="0" applyNumberForma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181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/>
              <a:t>Convergence of CCR Formula</a:t>
            </a:r>
            <a:endParaRPr lang="zh-TW" altLang="en-US" sz="18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0.13087313368615808"/>
          <c:y val="7.3221757322175729E-2"/>
          <c:w val="0.80765145647777625"/>
          <c:h val="0.79456429348005142"/>
        </c:manualLayout>
      </c:layout>
      <c:lineChart>
        <c:grouping val="standard"/>
        <c:varyColors val="0"/>
        <c:ser>
          <c:idx val="1"/>
          <c:order val="0"/>
          <c:tx>
            <c:strRef>
              <c:f>'Convergence of CCR'!$F$9</c:f>
              <c:strCache>
                <c:ptCount val="1"/>
                <c:pt idx="0">
                  <c:v>BS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'Convergence of CCR'!$E$10:$E$17</c:f>
              <c:numCache>
                <c:formatCode>General</c:formatCode>
                <c:ptCount val="8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</c:numCache>
            </c:numRef>
          </c:cat>
          <c:val>
            <c:numRef>
              <c:f>'Convergence of CCR'!$F$10:$F$17</c:f>
              <c:numCache>
                <c:formatCode>General</c:formatCode>
                <c:ptCount val="8"/>
                <c:pt idx="0">
                  <c:v>9.7257564152682718</c:v>
                </c:pt>
                <c:pt idx="1">
                  <c:v>9.7257564152682718</c:v>
                </c:pt>
                <c:pt idx="2">
                  <c:v>9.7257564152682718</c:v>
                </c:pt>
                <c:pt idx="3">
                  <c:v>9.7257564152682718</c:v>
                </c:pt>
                <c:pt idx="4">
                  <c:v>9.7257564152682718</c:v>
                </c:pt>
                <c:pt idx="5">
                  <c:v>9.7257564152682718</c:v>
                </c:pt>
                <c:pt idx="6">
                  <c:v>9.7257564152682718</c:v>
                </c:pt>
                <c:pt idx="7">
                  <c:v>9.7257564152682718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1B-4764-A6F7-AB3062E05291}"/>
            </c:ext>
          </c:extLst>
        </c:ser>
        <c:ser>
          <c:idx val="2"/>
          <c:order val="1"/>
          <c:tx>
            <c:strRef>
              <c:f>'Convergence of CCR'!$G$9</c:f>
              <c:strCache>
                <c:ptCount val="1"/>
                <c:pt idx="0">
                  <c:v>CRR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'Convergence of CCR'!$E$10:$E$17</c:f>
              <c:numCache>
                <c:formatCode>General</c:formatCode>
                <c:ptCount val="8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</c:numCache>
            </c:numRef>
          </c:cat>
          <c:val>
            <c:numRef>
              <c:f>'Convergence of CCR'!$G$10:$G$17</c:f>
              <c:numCache>
                <c:formatCode>0.0000_);[Red]\(0.0000\)</c:formatCode>
                <c:ptCount val="8"/>
                <c:pt idx="0">
                  <c:v>9.7709292801831165</c:v>
                </c:pt>
                <c:pt idx="1">
                  <c:v>9.6954333191186883</c:v>
                </c:pt>
                <c:pt idx="2">
                  <c:v>9.7366680290354211</c:v>
                </c:pt>
                <c:pt idx="3">
                  <c:v>9.742689686043521</c:v>
                </c:pt>
                <c:pt idx="4">
                  <c:v>9.7382483432089799</c:v>
                </c:pt>
                <c:pt idx="5">
                  <c:v>9.7303384607986221</c:v>
                </c:pt>
                <c:pt idx="6">
                  <c:v>9.7214037771644009</c:v>
                </c:pt>
                <c:pt idx="7">
                  <c:v>9.7198796085700696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1B-4764-A6F7-AB3062E05291}"/>
            </c:ext>
          </c:extLst>
        </c:ser>
        <c:ser>
          <c:idx val="3"/>
          <c:order val="2"/>
          <c:tx>
            <c:strRef>
              <c:f>'Convergence of CCR'!$H$9</c:f>
              <c:strCache>
                <c:ptCount val="1"/>
                <c:pt idx="0">
                  <c:v>LR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'Convergence of CCR'!$E$10:$E$17</c:f>
              <c:numCache>
                <c:formatCode>General</c:formatCode>
                <c:ptCount val="8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</c:numCache>
            </c:numRef>
          </c:cat>
          <c:val>
            <c:numRef>
              <c:f>'Convergence of CCR'!$H$10:$H$17</c:f>
              <c:numCache>
                <c:formatCode>General</c:formatCode>
                <c:ptCount val="8"/>
                <c:pt idx="0">
                  <c:v>9.7252791052341365</c:v>
                </c:pt>
                <c:pt idx="1">
                  <c:v>9.7256236197275694</c:v>
                </c:pt>
                <c:pt idx="2">
                  <c:v>9.725695135082141</c:v>
                </c:pt>
                <c:pt idx="3">
                  <c:v>9.7257212777539124</c:v>
                </c:pt>
                <c:pt idx="4">
                  <c:v>9.7257336641002183</c:v>
                </c:pt>
                <c:pt idx="5">
                  <c:v>9.7257404919635562</c:v>
                </c:pt>
                <c:pt idx="6">
                  <c:v>9.7257446507508476</c:v>
                </c:pt>
                <c:pt idx="7">
                  <c:v>9.7257473699770589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B1B-4764-A6F7-AB3062E05291}"/>
            </c:ext>
          </c:extLst>
        </c:ser>
        <c:ser>
          <c:idx val="0"/>
          <c:order val="3"/>
          <c:tx>
            <c:strRef>
              <c:f>'Convergence of CCR'!$I$9</c:f>
              <c:strCache>
                <c:ptCount val="1"/>
                <c:pt idx="0">
                  <c:v>JR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'Convergence of CCR'!$E$10:$E$17</c:f>
              <c:numCache>
                <c:formatCode>General</c:formatCode>
                <c:ptCount val="8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</c:numCache>
            </c:numRef>
          </c:cat>
          <c:val>
            <c:numRef>
              <c:f>'Convergence of CCR'!$I$10:$I$17</c:f>
              <c:numCache>
                <c:formatCode>General</c:formatCode>
                <c:ptCount val="8"/>
                <c:pt idx="0">
                  <c:v>9.6858673811634741</c:v>
                </c:pt>
                <c:pt idx="1">
                  <c:v>9.7496236343835889</c:v>
                </c:pt>
                <c:pt idx="2">
                  <c:v>9.7460348122646394</c:v>
                </c:pt>
                <c:pt idx="3">
                  <c:v>9.7229519613661743</c:v>
                </c:pt>
                <c:pt idx="4">
                  <c:v>9.7202002741652649</c:v>
                </c:pt>
                <c:pt idx="5">
                  <c:v>9.7327823655046881</c:v>
                </c:pt>
                <c:pt idx="6">
                  <c:v>9.7353929266757842</c:v>
                </c:pt>
                <c:pt idx="7">
                  <c:v>9.7327334987331326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B1B-4764-A6F7-AB3062E05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724623"/>
        <c:axId val="304725039"/>
      </c:lineChart>
      <c:catAx>
        <c:axId val="3047246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Binomial</a:t>
                </a:r>
                <a:r>
                  <a:rPr lang="en-US" altLang="zh-TW" baseline="0"/>
                  <a:t> Steps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04725039"/>
        <c:crosses val="autoZero"/>
        <c:auto val="1"/>
        <c:lblAlgn val="ctr"/>
        <c:lblOffset val="100"/>
        <c:noMultiLvlLbl val="0"/>
      </c:catAx>
      <c:valAx>
        <c:axId val="30472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Option Value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0472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圖表11"/>
  <sheetViews>
    <sheetView zoomScale="85" workbookViewId="0"/>
  </sheetViews>
  <pageMargins left="0.7" right="0.7" top="0.75" bottom="0.75" header="0.3" footer="0.3"/>
  <drawing r:id="rId1"/>
  <legacy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</xdr:row>
          <xdr:rowOff>213360</xdr:rowOff>
        </xdr:from>
        <xdr:to>
          <xdr:col>9</xdr:col>
          <xdr:colOff>601980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Binomial Tree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</xdr:row>
          <xdr:rowOff>15240</xdr:rowOff>
        </xdr:from>
        <xdr:to>
          <xdr:col>9</xdr:col>
          <xdr:colOff>304800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594360</xdr:colOff>
          <xdr:row>4</xdr:row>
          <xdr:rowOff>7620</xdr:rowOff>
        </xdr:from>
        <xdr:to>
          <xdr:col>6</xdr:col>
          <xdr:colOff>137160</xdr:colOff>
          <xdr:row>5</xdr:row>
          <xdr:rowOff>213360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Draw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</xdr:row>
          <xdr:rowOff>0</xdr:rowOff>
        </xdr:from>
        <xdr:to>
          <xdr:col>9</xdr:col>
          <xdr:colOff>213360</xdr:colOff>
          <xdr:row>5</xdr:row>
          <xdr:rowOff>198120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22860</xdr:rowOff>
        </xdr:from>
        <xdr:to>
          <xdr:col>9</xdr:col>
          <xdr:colOff>182880</xdr:colOff>
          <xdr:row>3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See Funtions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213360</xdr:rowOff>
        </xdr:from>
        <xdr:to>
          <xdr:col>11</xdr:col>
          <xdr:colOff>0</xdr:colOff>
          <xdr:row>4</xdr:row>
          <xdr:rowOff>213360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6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7170" name="CommandButton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205740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7171" name="CommandButton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7620</xdr:rowOff>
        </xdr:from>
        <xdr:to>
          <xdr:col>9</xdr:col>
          <xdr:colOff>685800</xdr:colOff>
          <xdr:row>6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15240</xdr:rowOff>
        </xdr:from>
        <xdr:to>
          <xdr:col>10</xdr:col>
          <xdr:colOff>15240</xdr:colOff>
          <xdr:row>8</xdr:row>
          <xdr:rowOff>213360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10</xdr:row>
          <xdr:rowOff>7620</xdr:rowOff>
        </xdr:from>
        <xdr:to>
          <xdr:col>10</xdr:col>
          <xdr:colOff>22860</xdr:colOff>
          <xdr:row>12</xdr:row>
          <xdr:rowOff>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205740</xdr:rowOff>
        </xdr:from>
        <xdr:to>
          <xdr:col>9</xdr:col>
          <xdr:colOff>7620</xdr:colOff>
          <xdr:row>16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182880</xdr:rowOff>
        </xdr:from>
        <xdr:to>
          <xdr:col>12</xdr:col>
          <xdr:colOff>7620</xdr:colOff>
          <xdr:row>13</xdr:row>
          <xdr:rowOff>38100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Draw JR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2</xdr:row>
          <xdr:rowOff>15240</xdr:rowOff>
        </xdr:from>
        <xdr:to>
          <xdr:col>10</xdr:col>
          <xdr:colOff>0</xdr:colOff>
          <xdr:row>4</xdr:row>
          <xdr:rowOff>15240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5</xdr:row>
          <xdr:rowOff>15240</xdr:rowOff>
        </xdr:from>
        <xdr:to>
          <xdr:col>10</xdr:col>
          <xdr:colOff>22860</xdr:colOff>
          <xdr:row>7</xdr:row>
          <xdr:rowOff>0</xdr:rowOff>
        </xdr:to>
        <xdr:sp macro="" textlink="">
          <xdr:nvSpPr>
            <xdr:cNvPr id="9220" name="CommandButton2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15240</xdr:rowOff>
        </xdr:from>
        <xdr:to>
          <xdr:col>10</xdr:col>
          <xdr:colOff>7620</xdr:colOff>
          <xdr:row>10</xdr:row>
          <xdr:rowOff>0</xdr:rowOff>
        </xdr:to>
        <xdr:sp macro="" textlink="">
          <xdr:nvSpPr>
            <xdr:cNvPr id="9221" name="CommandButton3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198120</xdr:rowOff>
        </xdr:from>
        <xdr:to>
          <xdr:col>12</xdr:col>
          <xdr:colOff>15240</xdr:colOff>
          <xdr:row>15</xdr:row>
          <xdr:rowOff>68580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Draw CRR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15</xdr:row>
          <xdr:rowOff>198120</xdr:rowOff>
        </xdr:from>
        <xdr:to>
          <xdr:col>11</xdr:col>
          <xdr:colOff>594360</xdr:colOff>
          <xdr:row>17</xdr:row>
          <xdr:rowOff>68580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Draw LR Tree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662940</xdr:colOff>
          <xdr:row>2</xdr:row>
          <xdr:rowOff>30480</xdr:rowOff>
        </xdr:from>
        <xdr:to>
          <xdr:col>9</xdr:col>
          <xdr:colOff>533400</xdr:colOff>
          <xdr:row>4</xdr:row>
          <xdr:rowOff>121920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4</xdr:row>
          <xdr:rowOff>167640</xdr:rowOff>
        </xdr:from>
        <xdr:to>
          <xdr:col>12</xdr:col>
          <xdr:colOff>304800</xdr:colOff>
          <xdr:row>7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3</xdr:row>
          <xdr:rowOff>7620</xdr:rowOff>
        </xdr:from>
        <xdr:to>
          <xdr:col>10</xdr:col>
          <xdr:colOff>655320</xdr:colOff>
          <xdr:row>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5</xdr:row>
          <xdr:rowOff>190500</xdr:rowOff>
        </xdr:from>
        <xdr:to>
          <xdr:col>10</xdr:col>
          <xdr:colOff>655320</xdr:colOff>
          <xdr:row>7</xdr:row>
          <xdr:rowOff>175260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圖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6.emf"/><Relationship Id="rId11" Type="http://schemas.openxmlformats.org/officeDocument/2006/relationships/ctrlProp" Target="../ctrlProps/ctrlProp10.xml"/><Relationship Id="rId5" Type="http://schemas.openxmlformats.org/officeDocument/2006/relationships/control" Target="../activeX/activeX6.xml"/><Relationship Id="rId10" Type="http://schemas.openxmlformats.org/officeDocument/2006/relationships/ctrlProp" Target="../ctrlProps/ctrlProp9.xml"/><Relationship Id="rId4" Type="http://schemas.openxmlformats.org/officeDocument/2006/relationships/image" Target="../media/image5.emf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14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"/>
  <sheetViews>
    <sheetView workbookViewId="0">
      <selection activeCell="E3" sqref="E3"/>
    </sheetView>
  </sheetViews>
  <sheetFormatPr defaultRowHeight="16.2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inomial_Tree_Userform">
                <anchor moveWithCells="1" sizeWithCells="1">
                  <from>
                    <xdr:col>4</xdr:col>
                    <xdr:colOff>7620</xdr:colOff>
                    <xdr:row>3</xdr:row>
                    <xdr:rowOff>213360</xdr:rowOff>
                  </from>
                  <to>
                    <xdr:col>9</xdr:col>
                    <xdr:colOff>601980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31"/>
  <sheetViews>
    <sheetView workbookViewId="0">
      <selection activeCell="I3" sqref="I3"/>
    </sheetView>
  </sheetViews>
  <sheetFormatPr defaultRowHeight="16.2"/>
  <cols>
    <col min="3" max="3" width="9.44140625" customWidth="1"/>
    <col min="7" max="7" width="9.21875" bestFit="1" customWidth="1"/>
  </cols>
  <sheetData>
    <row r="1" spans="1:11">
      <c r="A1" t="s">
        <v>0</v>
      </c>
    </row>
    <row r="2" spans="1:11">
      <c r="A2" t="s">
        <v>1</v>
      </c>
    </row>
    <row r="4" spans="1:11">
      <c r="B4" t="s">
        <v>2</v>
      </c>
      <c r="C4">
        <v>9</v>
      </c>
    </row>
    <row r="5" spans="1:11">
      <c r="B5" t="s">
        <v>3</v>
      </c>
      <c r="C5" s="2">
        <f>1/3</f>
        <v>0.33333333333333331</v>
      </c>
    </row>
    <row r="6" spans="1:11">
      <c r="B6" t="s">
        <v>4</v>
      </c>
      <c r="C6">
        <v>0.5</v>
      </c>
    </row>
    <row r="8" spans="1:11">
      <c r="B8">
        <v>0</v>
      </c>
      <c r="C8">
        <v>1</v>
      </c>
      <c r="D8">
        <v>2</v>
      </c>
      <c r="E8">
        <v>3</v>
      </c>
      <c r="F8">
        <v>4</v>
      </c>
      <c r="G8">
        <v>5</v>
      </c>
      <c r="H8">
        <v>6</v>
      </c>
      <c r="I8">
        <v>7</v>
      </c>
      <c r="J8">
        <v>8</v>
      </c>
      <c r="K8">
        <v>9</v>
      </c>
    </row>
    <row r="9" spans="1:11">
      <c r="A9">
        <v>0</v>
      </c>
      <c r="B9" s="1">
        <v>0</v>
      </c>
      <c r="C9" s="2">
        <f ca="1">IF($A9&lt;C$8,OFFSET(C9,0,-1)+$C$5,IF($A9=C$8,OFFSET(C9,-1,-1)-$C$5,""))</f>
        <v>0.33333333333333331</v>
      </c>
      <c r="D9" s="2">
        <f t="shared" ref="D9:J9" ca="1" si="0">IF($A9&lt;D$8,OFFSET(D9,0,-1)+$C$5,IF($A9=D$8,OFFSET(D9,-1,-1)-$C$5,""))</f>
        <v>0.66666666666666663</v>
      </c>
      <c r="E9" s="2">
        <f t="shared" ca="1" si="0"/>
        <v>1</v>
      </c>
      <c r="F9" s="2">
        <f t="shared" ca="1" si="0"/>
        <v>1.3333333333333333</v>
      </c>
      <c r="G9" s="2">
        <f t="shared" ca="1" si="0"/>
        <v>1.6666666666666665</v>
      </c>
      <c r="H9" s="2">
        <f t="shared" ca="1" si="0"/>
        <v>1.9999999999999998</v>
      </c>
      <c r="I9" s="2">
        <f t="shared" ca="1" si="0"/>
        <v>2.333333333333333</v>
      </c>
      <c r="J9" s="2">
        <f t="shared" ca="1" si="0"/>
        <v>2.6666666666666665</v>
      </c>
      <c r="K9" s="2">
        <f ca="1">IF($A9&lt;K$8,OFFSET(K9,0,-1)+$C$5,IF($A9=K$8,OFFSET(K9,-1,-1)-$C$5,""))</f>
        <v>3</v>
      </c>
    </row>
    <row r="10" spans="1:11">
      <c r="A10">
        <v>1</v>
      </c>
      <c r="B10" s="1"/>
      <c r="C10" s="2">
        <f t="shared" ref="C10:K18" ca="1" si="1">IF($A10&lt;C$8,OFFSET(C10,0,-1)+$C$5,IF($A10=C$8,OFFSET(C10,-1,-1)-$C$5,""))</f>
        <v>-0.33333333333333331</v>
      </c>
      <c r="D10" s="2">
        <f t="shared" ca="1" si="1"/>
        <v>0</v>
      </c>
      <c r="E10" s="2">
        <f t="shared" ca="1" si="1"/>
        <v>0.33333333333333331</v>
      </c>
      <c r="F10" s="2">
        <f t="shared" ca="1" si="1"/>
        <v>0.66666666666666663</v>
      </c>
      <c r="G10" s="2">
        <f t="shared" ca="1" si="1"/>
        <v>1</v>
      </c>
      <c r="H10" s="2">
        <f t="shared" ca="1" si="1"/>
        <v>1.3333333333333333</v>
      </c>
      <c r="I10" s="2">
        <f t="shared" ca="1" si="1"/>
        <v>1.6666666666666665</v>
      </c>
      <c r="J10" s="2">
        <f t="shared" ca="1" si="1"/>
        <v>1.9999999999999998</v>
      </c>
      <c r="K10" s="2">
        <f t="shared" ca="1" si="1"/>
        <v>2.333333333333333</v>
      </c>
    </row>
    <row r="11" spans="1:11">
      <c r="A11">
        <v>2</v>
      </c>
      <c r="B11" s="1"/>
      <c r="C11" s="2" t="str">
        <f t="shared" ca="1" si="1"/>
        <v/>
      </c>
      <c r="D11" s="2">
        <f t="shared" ca="1" si="1"/>
        <v>-0.66666666666666663</v>
      </c>
      <c r="E11" s="2">
        <f t="shared" ca="1" si="1"/>
        <v>-0.33333333333333331</v>
      </c>
      <c r="F11" s="2">
        <f t="shared" ca="1" si="1"/>
        <v>0</v>
      </c>
      <c r="G11" s="2">
        <f t="shared" ca="1" si="1"/>
        <v>0.33333333333333331</v>
      </c>
      <c r="H11" s="2">
        <f t="shared" ca="1" si="1"/>
        <v>0.66666666666666663</v>
      </c>
      <c r="I11" s="2">
        <f t="shared" ca="1" si="1"/>
        <v>1</v>
      </c>
      <c r="J11" s="2">
        <f t="shared" ca="1" si="1"/>
        <v>1.3333333333333333</v>
      </c>
      <c r="K11" s="2">
        <f t="shared" ca="1" si="1"/>
        <v>1.6666666666666665</v>
      </c>
    </row>
    <row r="12" spans="1:11">
      <c r="A12">
        <v>3</v>
      </c>
      <c r="B12" s="1"/>
      <c r="C12" s="2" t="str">
        <f t="shared" ca="1" si="1"/>
        <v/>
      </c>
      <c r="D12" s="2" t="str">
        <f t="shared" ca="1" si="1"/>
        <v/>
      </c>
      <c r="E12" s="2">
        <f t="shared" ca="1" si="1"/>
        <v>-1</v>
      </c>
      <c r="F12" s="2">
        <f t="shared" ca="1" si="1"/>
        <v>-0.66666666666666674</v>
      </c>
      <c r="G12" s="2">
        <f t="shared" ca="1" si="1"/>
        <v>-0.33333333333333343</v>
      </c>
      <c r="H12" s="2">
        <f t="shared" ca="1" si="1"/>
        <v>-1.1102230246251565E-16</v>
      </c>
      <c r="I12" s="2">
        <f t="shared" ca="1" si="1"/>
        <v>0.3333333333333332</v>
      </c>
      <c r="J12" s="2">
        <f t="shared" ca="1" si="1"/>
        <v>0.66666666666666652</v>
      </c>
      <c r="K12" s="2">
        <f t="shared" ca="1" si="1"/>
        <v>0.99999999999999978</v>
      </c>
    </row>
    <row r="13" spans="1:11">
      <c r="A13">
        <v>4</v>
      </c>
      <c r="B13" s="1"/>
      <c r="C13" s="2" t="str">
        <f t="shared" ca="1" si="1"/>
        <v/>
      </c>
      <c r="D13" s="2" t="str">
        <f t="shared" ca="1" si="1"/>
        <v/>
      </c>
      <c r="E13" s="2" t="str">
        <f t="shared" ca="1" si="1"/>
        <v/>
      </c>
      <c r="F13" s="2">
        <f t="shared" ca="1" si="1"/>
        <v>-1.3333333333333333</v>
      </c>
      <c r="G13" s="2">
        <f t="shared" ca="1" si="1"/>
        <v>-1</v>
      </c>
      <c r="H13" s="2">
        <f t="shared" ca="1" si="1"/>
        <v>-0.66666666666666674</v>
      </c>
      <c r="I13" s="2">
        <f t="shared" ca="1" si="1"/>
        <v>-0.33333333333333343</v>
      </c>
      <c r="J13" s="2">
        <f t="shared" ca="1" si="1"/>
        <v>-1.1102230246251565E-16</v>
      </c>
      <c r="K13" s="2">
        <f t="shared" ca="1" si="1"/>
        <v>0.3333333333333332</v>
      </c>
    </row>
    <row r="14" spans="1:11">
      <c r="A14">
        <v>5</v>
      </c>
      <c r="B14" s="1"/>
      <c r="C14" s="2"/>
      <c r="D14" s="2" t="str">
        <f t="shared" ca="1" si="1"/>
        <v/>
      </c>
      <c r="E14" s="2" t="str">
        <f t="shared" ca="1" si="1"/>
        <v/>
      </c>
      <c r="F14" s="2" t="str">
        <f t="shared" ca="1" si="1"/>
        <v/>
      </c>
      <c r="G14" s="2">
        <f t="shared" ca="1" si="1"/>
        <v>-1.6666666666666665</v>
      </c>
      <c r="H14" s="2">
        <f t="shared" ca="1" si="1"/>
        <v>-1.3333333333333333</v>
      </c>
      <c r="I14" s="2">
        <f t="shared" ca="1" si="1"/>
        <v>-1</v>
      </c>
      <c r="J14" s="2">
        <f t="shared" ca="1" si="1"/>
        <v>-0.66666666666666674</v>
      </c>
      <c r="K14" s="2">
        <f t="shared" ca="1" si="1"/>
        <v>-0.33333333333333343</v>
      </c>
    </row>
    <row r="15" spans="1:11">
      <c r="A15">
        <v>6</v>
      </c>
      <c r="B15" s="1"/>
      <c r="C15" s="2" t="str">
        <f t="shared" ca="1" si="1"/>
        <v/>
      </c>
      <c r="D15" s="2" t="str">
        <f t="shared" ca="1" si="1"/>
        <v/>
      </c>
      <c r="E15" s="2" t="str">
        <f t="shared" ca="1" si="1"/>
        <v/>
      </c>
      <c r="F15" s="2" t="str">
        <f t="shared" ca="1" si="1"/>
        <v/>
      </c>
      <c r="G15" s="2" t="str">
        <f t="shared" ca="1" si="1"/>
        <v/>
      </c>
      <c r="H15" s="2">
        <f t="shared" ca="1" si="1"/>
        <v>-1.9999999999999998</v>
      </c>
      <c r="I15" s="2">
        <f t="shared" ca="1" si="1"/>
        <v>-1.6666666666666665</v>
      </c>
      <c r="J15" s="2">
        <f t="shared" ca="1" si="1"/>
        <v>-1.3333333333333333</v>
      </c>
      <c r="K15" s="2">
        <f t="shared" ca="1" si="1"/>
        <v>-1</v>
      </c>
    </row>
    <row r="16" spans="1:11">
      <c r="A16">
        <v>7</v>
      </c>
      <c r="B16" s="1"/>
      <c r="C16" s="2" t="str">
        <f t="shared" ca="1" si="1"/>
        <v/>
      </c>
      <c r="D16" s="2" t="str">
        <f t="shared" ca="1" si="1"/>
        <v/>
      </c>
      <c r="E16" s="2" t="str">
        <f t="shared" ca="1" si="1"/>
        <v/>
      </c>
      <c r="F16" s="2" t="str">
        <f t="shared" ca="1" si="1"/>
        <v/>
      </c>
      <c r="G16" s="2" t="str">
        <f t="shared" ca="1" si="1"/>
        <v/>
      </c>
      <c r="H16" s="2" t="str">
        <f t="shared" ca="1" si="1"/>
        <v/>
      </c>
      <c r="I16" s="2">
        <f t="shared" ca="1" si="1"/>
        <v>-2.333333333333333</v>
      </c>
      <c r="J16" s="2">
        <f t="shared" ca="1" si="1"/>
        <v>-1.9999999999999998</v>
      </c>
      <c r="K16" s="2">
        <f t="shared" ca="1" si="1"/>
        <v>-1.6666666666666665</v>
      </c>
    </row>
    <row r="17" spans="1:11">
      <c r="A17">
        <v>8</v>
      </c>
      <c r="B17" s="1"/>
      <c r="C17" s="2" t="str">
        <f t="shared" ca="1" si="1"/>
        <v/>
      </c>
      <c r="D17" s="2" t="str">
        <f t="shared" ca="1" si="1"/>
        <v/>
      </c>
      <c r="E17" s="2" t="str">
        <f t="shared" ca="1" si="1"/>
        <v/>
      </c>
      <c r="F17" s="2" t="str">
        <f t="shared" ca="1" si="1"/>
        <v/>
      </c>
      <c r="G17" s="2" t="str">
        <f t="shared" ca="1" si="1"/>
        <v/>
      </c>
      <c r="H17" s="2" t="str">
        <f t="shared" ca="1" si="1"/>
        <v/>
      </c>
      <c r="I17" s="2" t="str">
        <f t="shared" ca="1" si="1"/>
        <v/>
      </c>
      <c r="J17" s="2">
        <f t="shared" ca="1" si="1"/>
        <v>-2.6666666666666665</v>
      </c>
      <c r="K17" s="2">
        <f t="shared" ca="1" si="1"/>
        <v>-2.333333333333333</v>
      </c>
    </row>
    <row r="18" spans="1:11">
      <c r="A18">
        <v>9</v>
      </c>
      <c r="B18" s="1"/>
      <c r="C18" s="2" t="str">
        <f t="shared" ca="1" si="1"/>
        <v/>
      </c>
      <c r="D18" s="2" t="str">
        <f t="shared" ca="1" si="1"/>
        <v/>
      </c>
      <c r="E18" s="2" t="str">
        <f t="shared" ca="1" si="1"/>
        <v/>
      </c>
      <c r="F18" s="2" t="str">
        <f t="shared" ca="1" si="1"/>
        <v/>
      </c>
      <c r="G18" s="2" t="str">
        <f t="shared" ca="1" si="1"/>
        <v/>
      </c>
      <c r="H18" s="2" t="str">
        <f t="shared" ca="1" si="1"/>
        <v/>
      </c>
      <c r="I18" s="2" t="str">
        <f t="shared" ca="1" si="1"/>
        <v/>
      </c>
      <c r="J18" s="2" t="str">
        <f t="shared" ca="1" si="1"/>
        <v/>
      </c>
      <c r="K18" s="2">
        <f t="shared" ca="1" si="1"/>
        <v>-3</v>
      </c>
    </row>
    <row r="21" spans="1:11">
      <c r="C21" t="s">
        <v>5</v>
      </c>
      <c r="E21" t="s">
        <v>6</v>
      </c>
      <c r="G21" t="s">
        <v>7</v>
      </c>
      <c r="I21" t="s">
        <v>8</v>
      </c>
    </row>
    <row r="22" spans="1:11">
      <c r="C22">
        <v>9</v>
      </c>
      <c r="E22" s="2">
        <f t="shared" ref="E22:E31" ca="1" si="2">K9</f>
        <v>3</v>
      </c>
      <c r="G22">
        <f>COMBIN($C$4,C22)</f>
        <v>1</v>
      </c>
      <c r="I22">
        <f>G22*($C$6^$C$4)</f>
        <v>1.953125E-3</v>
      </c>
    </row>
    <row r="23" spans="1:11">
      <c r="C23">
        <v>8</v>
      </c>
      <c r="E23" s="2">
        <f t="shared" ca="1" si="2"/>
        <v>2.333333333333333</v>
      </c>
      <c r="G23">
        <f t="shared" ref="G23:G31" si="3">COMBIN($C$4,C23)</f>
        <v>9</v>
      </c>
      <c r="I23">
        <f t="shared" ref="I23:I31" si="4">G23*($C$6^$C$4)</f>
        <v>1.7578125E-2</v>
      </c>
    </row>
    <row r="24" spans="1:11">
      <c r="C24">
        <v>7</v>
      </c>
      <c r="E24" s="2">
        <f t="shared" ca="1" si="2"/>
        <v>1.6666666666666665</v>
      </c>
      <c r="G24">
        <f t="shared" si="3"/>
        <v>36</v>
      </c>
      <c r="I24">
        <f t="shared" si="4"/>
        <v>7.03125E-2</v>
      </c>
    </row>
    <row r="25" spans="1:11">
      <c r="C25">
        <v>6</v>
      </c>
      <c r="E25" s="2">
        <f t="shared" ca="1" si="2"/>
        <v>0.99999999999999978</v>
      </c>
      <c r="G25">
        <f t="shared" si="3"/>
        <v>83.999999999999986</v>
      </c>
      <c r="I25">
        <f t="shared" si="4"/>
        <v>0.16406249999999997</v>
      </c>
    </row>
    <row r="26" spans="1:11">
      <c r="C26">
        <v>5</v>
      </c>
      <c r="E26" s="2">
        <f t="shared" ca="1" si="2"/>
        <v>0.3333333333333332</v>
      </c>
      <c r="G26">
        <f t="shared" si="3"/>
        <v>126</v>
      </c>
      <c r="I26">
        <f t="shared" si="4"/>
        <v>0.24609375</v>
      </c>
    </row>
    <row r="27" spans="1:11">
      <c r="C27">
        <v>4</v>
      </c>
      <c r="E27" s="2">
        <f t="shared" ca="1" si="2"/>
        <v>-0.33333333333333343</v>
      </c>
      <c r="G27">
        <f t="shared" si="3"/>
        <v>126</v>
      </c>
      <c r="I27">
        <f t="shared" si="4"/>
        <v>0.24609375</v>
      </c>
    </row>
    <row r="28" spans="1:11">
      <c r="C28">
        <v>3</v>
      </c>
      <c r="E28" s="2">
        <f t="shared" ca="1" si="2"/>
        <v>-1</v>
      </c>
      <c r="G28">
        <f t="shared" si="3"/>
        <v>83.999999999999986</v>
      </c>
      <c r="I28">
        <f t="shared" si="4"/>
        <v>0.16406249999999997</v>
      </c>
    </row>
    <row r="29" spans="1:11">
      <c r="C29">
        <v>2</v>
      </c>
      <c r="E29" s="2">
        <f t="shared" ca="1" si="2"/>
        <v>-1.6666666666666665</v>
      </c>
      <c r="G29">
        <f t="shared" si="3"/>
        <v>36</v>
      </c>
      <c r="I29">
        <f t="shared" si="4"/>
        <v>7.03125E-2</v>
      </c>
    </row>
    <row r="30" spans="1:11">
      <c r="C30">
        <v>1</v>
      </c>
      <c r="E30" s="2">
        <f t="shared" ca="1" si="2"/>
        <v>-2.333333333333333</v>
      </c>
      <c r="G30">
        <f t="shared" si="3"/>
        <v>9</v>
      </c>
      <c r="I30">
        <f t="shared" si="4"/>
        <v>1.7578125E-2</v>
      </c>
    </row>
    <row r="31" spans="1:11">
      <c r="C31">
        <v>0</v>
      </c>
      <c r="E31" s="2">
        <f t="shared" ca="1" si="2"/>
        <v>-3</v>
      </c>
      <c r="G31">
        <f t="shared" si="3"/>
        <v>1</v>
      </c>
      <c r="I31">
        <f t="shared" si="4"/>
        <v>1.953125E-3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oHome">
                <anchor moveWithCells="1" sizeWithCells="1">
                  <from>
                    <xdr:col>7</xdr:col>
                    <xdr:colOff>38100</xdr:colOff>
                    <xdr:row>3</xdr:row>
                    <xdr:rowOff>15240</xdr:rowOff>
                  </from>
                  <to>
                    <xdr:col>9</xdr:col>
                    <xdr:colOff>304800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AK126"/>
  <sheetViews>
    <sheetView workbookViewId="0">
      <selection activeCell="C4" sqref="C4"/>
    </sheetView>
  </sheetViews>
  <sheetFormatPr defaultRowHeight="16.2"/>
  <sheetData>
    <row r="1" spans="1:37">
      <c r="A1" t="s">
        <v>0</v>
      </c>
    </row>
    <row r="2" spans="1:37">
      <c r="A2" t="s">
        <v>1</v>
      </c>
    </row>
    <row r="4" spans="1:37">
      <c r="B4" t="s">
        <v>2</v>
      </c>
      <c r="C4">
        <v>10</v>
      </c>
    </row>
    <row r="5" spans="1:37">
      <c r="B5" t="s">
        <v>3</v>
      </c>
      <c r="C5" s="2">
        <v>0.316</v>
      </c>
    </row>
    <row r="6" spans="1:37">
      <c r="B6" t="s">
        <v>9</v>
      </c>
      <c r="C6">
        <v>0</v>
      </c>
    </row>
    <row r="8" spans="1:37">
      <c r="A8" s="3"/>
      <c r="B8" s="3">
        <v>0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>
      <c r="A9" s="3">
        <v>0</v>
      </c>
      <c r="B9" s="3">
        <v>0</v>
      </c>
      <c r="C9" s="3">
        <v>0.316</v>
      </c>
      <c r="D9" s="3">
        <v>0.63200000000000001</v>
      </c>
      <c r="E9" s="3">
        <v>0.94799999999999995</v>
      </c>
      <c r="F9" s="3">
        <v>1.264</v>
      </c>
      <c r="G9" s="3">
        <v>1.58</v>
      </c>
      <c r="H9" s="3">
        <v>1.8960000000000001</v>
      </c>
      <c r="I9" s="3">
        <v>2.2120000000000002</v>
      </c>
      <c r="J9" s="3">
        <v>2.528</v>
      </c>
      <c r="K9" s="3">
        <v>2.8439999999999999</v>
      </c>
      <c r="L9" s="3">
        <v>3.1599999999999997</v>
      </c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>
      <c r="A10" s="3">
        <v>1</v>
      </c>
      <c r="B10" s="3"/>
      <c r="C10" s="3">
        <v>-0.316</v>
      </c>
      <c r="D10" s="3">
        <v>0</v>
      </c>
      <c r="E10" s="3">
        <v>0.316</v>
      </c>
      <c r="F10" s="3">
        <v>0.6319999999999999</v>
      </c>
      <c r="G10" s="3">
        <v>0.94799999999999995</v>
      </c>
      <c r="H10" s="3">
        <v>1.264</v>
      </c>
      <c r="I10" s="3">
        <v>1.58</v>
      </c>
      <c r="J10" s="3">
        <v>1.8960000000000001</v>
      </c>
      <c r="K10" s="3">
        <v>2.2120000000000002</v>
      </c>
      <c r="L10" s="3">
        <v>2.528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>
      <c r="A11" s="3">
        <v>2</v>
      </c>
      <c r="B11" s="3"/>
      <c r="C11" s="3"/>
      <c r="D11" s="3">
        <v>-0.63200000000000001</v>
      </c>
      <c r="E11" s="3">
        <v>-0.316</v>
      </c>
      <c r="F11" s="3">
        <v>0</v>
      </c>
      <c r="G11" s="3">
        <v>0.31599999999999989</v>
      </c>
      <c r="H11" s="3">
        <v>0.6319999999999999</v>
      </c>
      <c r="I11" s="3">
        <v>0.94799999999999995</v>
      </c>
      <c r="J11" s="3">
        <v>1.264</v>
      </c>
      <c r="K11" s="3">
        <v>1.58</v>
      </c>
      <c r="L11" s="3">
        <v>1.8960000000000001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>
      <c r="A12" s="3">
        <v>3</v>
      </c>
      <c r="B12" s="3"/>
      <c r="C12" s="3"/>
      <c r="D12" s="3"/>
      <c r="E12" s="3">
        <v>-0.94799999999999995</v>
      </c>
      <c r="F12" s="3">
        <v>-0.63200000000000001</v>
      </c>
      <c r="G12" s="3">
        <v>-0.316</v>
      </c>
      <c r="H12" s="3">
        <v>-1.1102230246251565E-16</v>
      </c>
      <c r="I12" s="3">
        <v>0.31599999999999989</v>
      </c>
      <c r="J12" s="3">
        <v>0.6319999999999999</v>
      </c>
      <c r="K12" s="3">
        <v>0.94799999999999995</v>
      </c>
      <c r="L12" s="3">
        <v>1.264</v>
      </c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>
      <c r="A13" s="3">
        <v>4</v>
      </c>
      <c r="B13" s="3"/>
      <c r="C13" s="3"/>
      <c r="D13" s="3"/>
      <c r="E13" s="3"/>
      <c r="F13" s="3">
        <v>-1.264</v>
      </c>
      <c r="G13" s="3">
        <v>-0.94799999999999995</v>
      </c>
      <c r="H13" s="3">
        <v>-0.63200000000000001</v>
      </c>
      <c r="I13" s="3">
        <v>-0.31600000000000011</v>
      </c>
      <c r="J13" s="3">
        <v>-1.1102230246251565E-16</v>
      </c>
      <c r="K13" s="3">
        <v>0.31599999999999989</v>
      </c>
      <c r="L13" s="3">
        <v>0.6319999999999999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>
      <c r="A14" s="3">
        <v>5</v>
      </c>
      <c r="B14" s="3"/>
      <c r="C14" s="3"/>
      <c r="D14" s="3"/>
      <c r="E14" s="3"/>
      <c r="F14" s="3"/>
      <c r="G14" s="3">
        <v>-1.58</v>
      </c>
      <c r="H14" s="3">
        <v>-1.264</v>
      </c>
      <c r="I14" s="3">
        <v>-0.94799999999999995</v>
      </c>
      <c r="J14" s="3">
        <v>-0.63200000000000012</v>
      </c>
      <c r="K14" s="3">
        <v>-0.31600000000000011</v>
      </c>
      <c r="L14" s="3">
        <v>-1.1102230246251565E-16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>
      <c r="A15" s="3">
        <v>6</v>
      </c>
      <c r="B15" s="3"/>
      <c r="C15" s="3"/>
      <c r="D15" s="3"/>
      <c r="E15" s="3"/>
      <c r="F15" s="3"/>
      <c r="G15" s="3"/>
      <c r="H15" s="3">
        <v>-1.8960000000000001</v>
      </c>
      <c r="I15" s="3">
        <v>-1.58</v>
      </c>
      <c r="J15" s="3">
        <v>-1.264</v>
      </c>
      <c r="K15" s="3">
        <v>-0.94800000000000018</v>
      </c>
      <c r="L15" s="3">
        <v>-0.63200000000000012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>
      <c r="A16" s="3">
        <v>7</v>
      </c>
      <c r="B16" s="3"/>
      <c r="C16" s="3"/>
      <c r="D16" s="3"/>
      <c r="E16" s="3"/>
      <c r="F16" s="3"/>
      <c r="G16" s="3"/>
      <c r="H16" s="3"/>
      <c r="I16" s="3">
        <v>-2.2120000000000002</v>
      </c>
      <c r="J16" s="3">
        <v>-1.8960000000000001</v>
      </c>
      <c r="K16" s="3">
        <v>-1.58</v>
      </c>
      <c r="L16" s="3">
        <v>-1.2640000000000002</v>
      </c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>
      <c r="A17" s="3">
        <v>8</v>
      </c>
      <c r="B17" s="3"/>
      <c r="C17" s="3"/>
      <c r="D17" s="3"/>
      <c r="E17" s="3"/>
      <c r="F17" s="3"/>
      <c r="G17" s="3"/>
      <c r="H17" s="3"/>
      <c r="I17" s="3"/>
      <c r="J17" s="3">
        <v>-2.528</v>
      </c>
      <c r="K17" s="3">
        <v>-2.2120000000000002</v>
      </c>
      <c r="L17" s="3">
        <v>-1.8960000000000001</v>
      </c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>
      <c r="A18" s="3">
        <v>9</v>
      </c>
      <c r="B18" s="3"/>
      <c r="C18" s="3"/>
      <c r="D18" s="3"/>
      <c r="E18" s="3"/>
      <c r="F18" s="3"/>
      <c r="G18" s="3"/>
      <c r="H18" s="3"/>
      <c r="I18" s="3"/>
      <c r="J18" s="3"/>
      <c r="K18" s="3">
        <v>-2.8439999999999999</v>
      </c>
      <c r="L18" s="3">
        <v>-2.528</v>
      </c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>
      <c r="A19" s="3">
        <v>10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>
        <v>-3.1599999999999997</v>
      </c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  <row r="48" spans="1:37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</row>
    <row r="49" spans="1:37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</row>
    <row r="50" spans="1:37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</row>
    <row r="51" spans="1:37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</row>
    <row r="52" spans="1:37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</row>
    <row r="53" spans="1:37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</row>
    <row r="54" spans="1:37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</row>
    <row r="55" spans="1:37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</row>
    <row r="56" spans="1:37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</row>
    <row r="57" spans="1:37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  <row r="58" spans="1:37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</row>
    <row r="59" spans="1:37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</row>
    <row r="60" spans="1:37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</row>
    <row r="61" spans="1:37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</row>
    <row r="62" spans="1:37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</row>
    <row r="63" spans="1:37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</row>
    <row r="64" spans="1:37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</row>
    <row r="65" spans="1:37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</row>
    <row r="66" spans="1:37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</row>
    <row r="67" spans="1:37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</row>
    <row r="68" spans="1:37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</row>
    <row r="69" spans="1:37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</row>
    <row r="70" spans="1:37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</row>
    <row r="71" spans="1:37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</row>
    <row r="72" spans="1:37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</row>
    <row r="73" spans="1:37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</row>
    <row r="74" spans="1:37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</row>
    <row r="75" spans="1:37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</row>
    <row r="76" spans="1:37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</row>
    <row r="77" spans="1:37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</row>
    <row r="78" spans="1:37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</row>
    <row r="79" spans="1:37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</row>
    <row r="80" spans="1:37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</row>
    <row r="81" spans="1:37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</row>
    <row r="82" spans="1:37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</row>
    <row r="83" spans="1:37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</row>
    <row r="84" spans="1:37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</row>
    <row r="85" spans="1:37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</row>
    <row r="86" spans="1:37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</row>
    <row r="87" spans="1:37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</row>
    <row r="88" spans="1:37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</row>
    <row r="89" spans="1:37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</row>
    <row r="90" spans="1:37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</row>
    <row r="91" spans="1:37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</row>
    <row r="92" spans="1:37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</row>
    <row r="93" spans="1:37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</row>
    <row r="94" spans="1:37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</row>
    <row r="95" spans="1:37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</row>
    <row r="96" spans="1:37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</row>
    <row r="97" spans="1:37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</row>
    <row r="98" spans="1:37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</row>
    <row r="99" spans="1:37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</row>
    <row r="100" spans="1:37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</row>
    <row r="101" spans="1:37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</row>
    <row r="102" spans="1:37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</row>
    <row r="103" spans="1:37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</row>
    <row r="104" spans="1:37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</row>
    <row r="105" spans="1:37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</row>
    <row r="106" spans="1:37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</row>
    <row r="107" spans="1:37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</row>
    <row r="108" spans="1:37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</row>
    <row r="109" spans="1:37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</row>
    <row r="110" spans="1:37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</row>
    <row r="111" spans="1:37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</row>
    <row r="112" spans="1:37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</row>
    <row r="113" spans="1:37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</row>
    <row r="114" spans="1:37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</row>
    <row r="115" spans="1:37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</row>
    <row r="116" spans="1:37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</row>
    <row r="117" spans="1:37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</row>
    <row r="118" spans="1:37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</row>
    <row r="119" spans="1:37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</row>
    <row r="120" spans="1:37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</row>
    <row r="121" spans="1:37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</row>
    <row r="122" spans="1:37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</row>
    <row r="123" spans="1:37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</row>
    <row r="124" spans="1:37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</row>
    <row r="125" spans="1:37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</row>
    <row r="126" spans="1:37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implified_Tree.Simplified_Tree">
                <anchor moveWithCells="1" sizeWithCells="1">
                  <from>
                    <xdr:col>3</xdr:col>
                    <xdr:colOff>594360</xdr:colOff>
                    <xdr:row>4</xdr:row>
                    <xdr:rowOff>7620</xdr:rowOff>
                  </from>
                  <to>
                    <xdr:col>6</xdr:col>
                    <xdr:colOff>137160</xdr:colOff>
                    <xdr:row>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oHome">
                <anchor moveWithCells="1" sizeWithCells="1">
                  <from>
                    <xdr:col>7</xdr:col>
                    <xdr:colOff>7620</xdr:colOff>
                    <xdr:row>4</xdr:row>
                    <xdr:rowOff>0</xdr:rowOff>
                  </from>
                  <to>
                    <xdr:col>9</xdr:col>
                    <xdr:colOff>213360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o_Simplified">
                <anchor moveWithCells="1" sizeWithCells="1">
                  <from>
                    <xdr:col>7</xdr:col>
                    <xdr:colOff>7620</xdr:colOff>
                    <xdr:row>1</xdr:row>
                    <xdr:rowOff>22860</xdr:rowOff>
                  </from>
                  <to>
                    <xdr:col>9</xdr:col>
                    <xdr:colOff>182880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K30"/>
  <sheetViews>
    <sheetView workbookViewId="0">
      <selection activeCell="G15" sqref="G15"/>
    </sheetView>
  </sheetViews>
  <sheetFormatPr defaultRowHeight="16.2"/>
  <cols>
    <col min="1" max="1" width="21.33203125" customWidth="1"/>
    <col min="7" max="7" width="9.109375" customWidth="1"/>
  </cols>
  <sheetData>
    <row r="1" spans="1:7">
      <c r="A1" t="s">
        <v>15</v>
      </c>
    </row>
    <row r="2" spans="1:7">
      <c r="A2" t="s">
        <v>16</v>
      </c>
    </row>
    <row r="4" spans="1:7">
      <c r="A4" t="s">
        <v>17</v>
      </c>
      <c r="D4">
        <v>100</v>
      </c>
      <c r="F4" t="s">
        <v>27</v>
      </c>
      <c r="G4" s="2"/>
    </row>
    <row r="5" spans="1:7">
      <c r="A5" t="s">
        <v>18</v>
      </c>
      <c r="D5">
        <v>95</v>
      </c>
      <c r="G5" s="2"/>
    </row>
    <row r="6" spans="1:7">
      <c r="A6" t="s">
        <v>19</v>
      </c>
      <c r="B6" s="2"/>
      <c r="D6" s="5">
        <v>0.08</v>
      </c>
      <c r="F6" s="7" t="s">
        <v>28</v>
      </c>
      <c r="G6" s="8">
        <f>D12/D15</f>
        <v>5.5555555555555552E-2</v>
      </c>
    </row>
    <row r="7" spans="1:7">
      <c r="B7" s="2"/>
      <c r="F7" t="s">
        <v>29</v>
      </c>
      <c r="G7" s="8">
        <f>EXP(D6*G6)</f>
        <v>1.0044543356358424</v>
      </c>
    </row>
    <row r="8" spans="1:7">
      <c r="A8" t="s">
        <v>26</v>
      </c>
      <c r="B8" s="2"/>
      <c r="D8" s="5">
        <v>0.03</v>
      </c>
      <c r="G8" s="8"/>
    </row>
    <row r="9" spans="1:7">
      <c r="B9" s="4"/>
      <c r="F9" t="s">
        <v>30</v>
      </c>
      <c r="G9" s="8">
        <f>EXP((D6-D8-0.5*D13^2)*G6+D13*SQRT(G6))</f>
        <v>1.0500178024560709</v>
      </c>
    </row>
    <row r="10" spans="1:7">
      <c r="A10" t="s">
        <v>21</v>
      </c>
      <c r="D10" s="2">
        <v>0</v>
      </c>
      <c r="F10" t="s">
        <v>31</v>
      </c>
      <c r="G10" s="8">
        <f>EXP((D6-D8-0.5*D13^2)*G6-D13*SQRT(G6))</f>
        <v>0.95554465145256628</v>
      </c>
    </row>
    <row r="11" spans="1:7">
      <c r="A11" t="s">
        <v>22</v>
      </c>
      <c r="D11">
        <v>0.5</v>
      </c>
      <c r="F11" t="s">
        <v>4</v>
      </c>
      <c r="G11" s="8">
        <v>0.5</v>
      </c>
    </row>
    <row r="12" spans="1:7">
      <c r="A12" t="s">
        <v>23</v>
      </c>
      <c r="D12" s="2">
        <f>D11-D10</f>
        <v>0.5</v>
      </c>
      <c r="F12" t="s">
        <v>32</v>
      </c>
      <c r="G12" s="8">
        <v>0.5</v>
      </c>
    </row>
    <row r="13" spans="1:7">
      <c r="A13" t="s">
        <v>24</v>
      </c>
      <c r="B13" s="2"/>
      <c r="D13" s="5">
        <v>0.2</v>
      </c>
      <c r="G13" s="8"/>
    </row>
    <row r="14" spans="1:7">
      <c r="D14" s="5"/>
    </row>
    <row r="15" spans="1:7">
      <c r="A15" t="s">
        <v>10</v>
      </c>
      <c r="D15" s="2">
        <v>9</v>
      </c>
      <c r="F15" t="s">
        <v>33</v>
      </c>
      <c r="G15">
        <f>binoptionValue(0,1,1,D4,D5,D6,D8,D12,D13,D15)</f>
        <v>9.7452955981893012</v>
      </c>
    </row>
    <row r="16" spans="1:7">
      <c r="A16" t="s">
        <v>11</v>
      </c>
      <c r="D16" s="2">
        <v>1</v>
      </c>
    </row>
    <row r="17" spans="1:11">
      <c r="A17" t="s">
        <v>12</v>
      </c>
      <c r="D17" s="6" t="s">
        <v>13</v>
      </c>
      <c r="F17" t="s">
        <v>34</v>
      </c>
      <c r="G17">
        <f>BSOptionValue(D16,D4,D5,D6,D8,D12,D13)</f>
        <v>9.7257564152682718</v>
      </c>
    </row>
    <row r="19" spans="1:11">
      <c r="A19" t="s">
        <v>35</v>
      </c>
    </row>
    <row r="20" spans="1:11">
      <c r="B20">
        <v>0</v>
      </c>
      <c r="C20">
        <v>1</v>
      </c>
      <c r="D20">
        <v>2</v>
      </c>
      <c r="E20">
        <v>3</v>
      </c>
      <c r="F20">
        <v>4</v>
      </c>
      <c r="G20">
        <v>5</v>
      </c>
      <c r="H20">
        <v>6</v>
      </c>
      <c r="I20">
        <v>7</v>
      </c>
      <c r="J20">
        <v>8</v>
      </c>
      <c r="K20">
        <v>9</v>
      </c>
    </row>
    <row r="21" spans="1:11">
      <c r="A21">
        <v>0</v>
      </c>
      <c r="B21">
        <f>D4</f>
        <v>100</v>
      </c>
      <c r="C21">
        <f ca="1">IF($A21&lt;C$20,$G$9*OFFSET(C21,0,-1),IF($A21=C$20,$G$10*OFFSET(C21,-1,-1),""))</f>
        <v>105.00178024560709</v>
      </c>
      <c r="D21">
        <f t="shared" ref="D21:K30" ca="1" si="0">IF($A21&lt;D$20,$G$9*OFFSET(D21,0,-1),IF($A21=D$20,$G$10*OFFSET(D21,-1,-1),""))</f>
        <v>110.25373854746763</v>
      </c>
      <c r="E21">
        <f t="shared" ca="1" si="0"/>
        <v>115.76838826217816</v>
      </c>
      <c r="F21">
        <f t="shared" ca="1" si="0"/>
        <v>121.55886863693351</v>
      </c>
      <c r="G21">
        <f t="shared" ca="1" si="0"/>
        <v>127.63897611519913</v>
      </c>
      <c r="H21">
        <f t="shared" ca="1" si="0"/>
        <v>134.0231972082243</v>
      </c>
      <c r="I21">
        <f t="shared" ca="1" si="0"/>
        <v>140.72674301071629</v>
      </c>
      <c r="J21">
        <f t="shared" ca="1" si="0"/>
        <v>147.76558544291257</v>
      </c>
      <c r="K21">
        <f t="shared" ca="1" si="0"/>
        <v>155.15649530540185</v>
      </c>
    </row>
    <row r="22" spans="1:11">
      <c r="A22">
        <v>1</v>
      </c>
      <c r="C22">
        <f t="shared" ref="C22:C30" ca="1" si="1">IF($A22&lt;C$20,$G$9*OFFSET(C22,0,-1),IF($A22=C$20,$G$10*OFFSET(C22,-1,-1),""))</f>
        <v>95.554465145256628</v>
      </c>
      <c r="D22">
        <f t="shared" ca="1" si="0"/>
        <v>100.33388950668758</v>
      </c>
      <c r="E22">
        <f t="shared" ca="1" si="0"/>
        <v>105.35237017168232</v>
      </c>
      <c r="F22">
        <f t="shared" ca="1" si="0"/>
        <v>110.62186421120839</v>
      </c>
      <c r="G22">
        <f t="shared" ca="1" si="0"/>
        <v>116.15492676264691</v>
      </c>
      <c r="H22">
        <f t="shared" ca="1" si="0"/>
        <v>121.96474094376036</v>
      </c>
      <c r="I22">
        <f t="shared" ca="1" si="0"/>
        <v>128.06514926289123</v>
      </c>
      <c r="J22">
        <f t="shared" ca="1" si="0"/>
        <v>134.47068660022975</v>
      </c>
      <c r="K22">
        <f t="shared" ca="1" si="0"/>
        <v>141.19661483873227</v>
      </c>
    </row>
    <row r="23" spans="1:11">
      <c r="A23">
        <v>2</v>
      </c>
      <c r="C23" t="str">
        <f t="shared" ca="1" si="1"/>
        <v/>
      </c>
      <c r="D23">
        <f t="shared" ca="1" si="0"/>
        <v>91.306558091960639</v>
      </c>
      <c r="E23">
        <f t="shared" ca="1" si="0"/>
        <v>95.873511477548092</v>
      </c>
      <c r="F23">
        <f t="shared" ca="1" si="0"/>
        <v>100.66889383540195</v>
      </c>
      <c r="G23">
        <f t="shared" ca="1" si="0"/>
        <v>105.70413068073225</v>
      </c>
      <c r="H23">
        <f t="shared" ca="1" si="0"/>
        <v>110.99121900791182</v>
      </c>
      <c r="I23">
        <f t="shared" ca="1" si="0"/>
        <v>116.54275587460806</v>
      </c>
      <c r="J23">
        <f t="shared" ca="1" si="0"/>
        <v>122.37196841563031</v>
      </c>
      <c r="K23">
        <f t="shared" ca="1" si="0"/>
        <v>128.49274535800384</v>
      </c>
    </row>
    <row r="24" spans="1:11">
      <c r="A24">
        <v>3</v>
      </c>
      <c r="C24" t="str">
        <f t="shared" ca="1" si="1"/>
        <v/>
      </c>
      <c r="D24" t="str">
        <f t="shared" ca="1" si="0"/>
        <v/>
      </c>
      <c r="E24">
        <f t="shared" ca="1" si="0"/>
        <v>87.247493227316028</v>
      </c>
      <c r="F24">
        <f t="shared" ca="1" si="0"/>
        <v>91.611421108347301</v>
      </c>
      <c r="G24">
        <f t="shared" ca="1" si="0"/>
        <v>96.19362307206454</v>
      </c>
      <c r="H24">
        <f t="shared" ca="1" si="0"/>
        <v>101.0050167084168</v>
      </c>
      <c r="I24">
        <f t="shared" ca="1" si="0"/>
        <v>106.05706568121053</v>
      </c>
      <c r="J24">
        <f t="shared" ca="1" si="0"/>
        <v>111.36180704152386</v>
      </c>
      <c r="K24">
        <f t="shared" ca="1" si="0"/>
        <v>116.93187990727789</v>
      </c>
    </row>
    <row r="25" spans="1:11">
      <c r="A25">
        <v>4</v>
      </c>
      <c r="C25" t="str">
        <f t="shared" ca="1" si="1"/>
        <v/>
      </c>
      <c r="D25" t="str">
        <f t="shared" ca="1" si="0"/>
        <v/>
      </c>
      <c r="E25" t="str">
        <f t="shared" ca="1" si="0"/>
        <v/>
      </c>
      <c r="F25">
        <f t="shared" ca="1" si="0"/>
        <v>83.368875506005836</v>
      </c>
      <c r="G25">
        <f t="shared" ca="1" si="0"/>
        <v>87.538803452050004</v>
      </c>
      <c r="H25">
        <f t="shared" ca="1" si="0"/>
        <v>91.917302030355458</v>
      </c>
      <c r="I25">
        <f t="shared" ca="1" si="0"/>
        <v>96.514803485604787</v>
      </c>
      <c r="J25">
        <f t="shared" ca="1" si="0"/>
        <v>101.34226186043428</v>
      </c>
      <c r="K25">
        <f t="shared" ca="1" si="0"/>
        <v>106.41117909462089</v>
      </c>
    </row>
    <row r="26" spans="1:11">
      <c r="A26">
        <v>5</v>
      </c>
      <c r="C26" t="str">
        <f t="shared" ca="1" si="1"/>
        <v/>
      </c>
      <c r="D26" t="str">
        <f t="shared" ca="1" si="0"/>
        <v/>
      </c>
      <c r="E26" t="str">
        <f t="shared" ca="1" si="0"/>
        <v/>
      </c>
      <c r="F26" t="str">
        <f t="shared" ca="1" si="0"/>
        <v/>
      </c>
      <c r="G26">
        <f t="shared" ca="1" si="0"/>
        <v>79.662683087378738</v>
      </c>
      <c r="H26">
        <f t="shared" ca="1" si="0"/>
        <v>83.647235433163829</v>
      </c>
      <c r="I26">
        <f t="shared" ca="1" si="0"/>
        <v>87.83108633105627</v>
      </c>
      <c r="J26">
        <f t="shared" ca="1" si="0"/>
        <v>92.224204256665146</v>
      </c>
      <c r="K26">
        <f t="shared" ca="1" si="0"/>
        <v>96.837056286843364</v>
      </c>
    </row>
    <row r="27" spans="1:11">
      <c r="A27">
        <v>6</v>
      </c>
      <c r="C27" t="str">
        <f t="shared" ca="1" si="1"/>
        <v/>
      </c>
      <c r="D27" t="str">
        <f t="shared" ca="1" si="0"/>
        <v/>
      </c>
      <c r="E27" t="str">
        <f t="shared" ca="1" si="0"/>
        <v/>
      </c>
      <c r="F27" t="str">
        <f t="shared" ca="1" si="0"/>
        <v/>
      </c>
      <c r="G27" t="str">
        <f t="shared" ca="1" si="0"/>
        <v/>
      </c>
      <c r="H27">
        <f t="shared" ca="1" si="0"/>
        <v>76.121250744505559</v>
      </c>
      <c r="I27">
        <f t="shared" ca="1" si="0"/>
        <v>79.92866842695328</v>
      </c>
      <c r="J27">
        <f t="shared" ca="1" si="0"/>
        <v>83.926524774909424</v>
      </c>
      <c r="K27">
        <f t="shared" ca="1" si="0"/>
        <v>88.124345111925379</v>
      </c>
    </row>
    <row r="28" spans="1:11">
      <c r="A28">
        <v>7</v>
      </c>
      <c r="C28" t="str">
        <f t="shared" ca="1" si="1"/>
        <v/>
      </c>
      <c r="D28" t="str">
        <f t="shared" ca="1" si="0"/>
        <v/>
      </c>
      <c r="E28" t="str">
        <f t="shared" ca="1" si="0"/>
        <v/>
      </c>
      <c r="F28" t="str">
        <f t="shared" ca="1" si="0"/>
        <v/>
      </c>
      <c r="G28" t="str">
        <f t="shared" ca="1" si="0"/>
        <v/>
      </c>
      <c r="H28" t="str">
        <f t="shared" ca="1" si="0"/>
        <v/>
      </c>
      <c r="I28">
        <f t="shared" ca="1" si="0"/>
        <v>72.737254010791972</v>
      </c>
      <c r="J28">
        <f t="shared" ca="1" si="0"/>
        <v>76.375411613100809</v>
      </c>
      <c r="K28">
        <f t="shared" ca="1" si="0"/>
        <v>80.195541863665994</v>
      </c>
    </row>
    <row r="29" spans="1:11">
      <c r="A29">
        <v>8</v>
      </c>
      <c r="C29" t="str">
        <f ca="1">IF($A29&lt;C$20,$G$9*OFFSET(C29,0,-1),IF($A29=C$20,$G$10*OFFSET(C29,-1,-1),""))</f>
        <v/>
      </c>
      <c r="D29" t="str">
        <f t="shared" ca="1" si="0"/>
        <v/>
      </c>
      <c r="E29" t="str">
        <f t="shared" ca="1" si="0"/>
        <v/>
      </c>
      <c r="F29" t="str">
        <f t="shared" ca="1" si="0"/>
        <v/>
      </c>
      <c r="G29" t="str">
        <f t="shared" ca="1" si="0"/>
        <v/>
      </c>
      <c r="H29" t="str">
        <f t="shared" ca="1" si="0"/>
        <v/>
      </c>
      <c r="I29" t="str">
        <f t="shared" ca="1" si="0"/>
        <v/>
      </c>
      <c r="J29">
        <f t="shared" ca="1" si="0"/>
        <v>69.503694031358989</v>
      </c>
      <c r="K29">
        <f t="shared" ca="1" si="0"/>
        <v>72.980116069386696</v>
      </c>
    </row>
    <row r="30" spans="1:11">
      <c r="A30">
        <v>9</v>
      </c>
      <c r="C30" t="str">
        <f t="shared" ca="1" si="1"/>
        <v/>
      </c>
      <c r="D30" t="str">
        <f t="shared" ca="1" si="0"/>
        <v/>
      </c>
      <c r="E30" t="str">
        <f t="shared" ca="1" si="0"/>
        <v/>
      </c>
      <c r="F30" t="str">
        <f t="shared" ca="1" si="0"/>
        <v/>
      </c>
      <c r="G30" t="str">
        <f t="shared" ca="1" si="0"/>
        <v/>
      </c>
      <c r="H30" t="str">
        <f t="shared" ca="1" si="0"/>
        <v/>
      </c>
      <c r="I30" t="str">
        <f t="shared" ca="1" si="0"/>
        <v/>
      </c>
      <c r="J30" t="str">
        <f t="shared" ca="1" si="0"/>
        <v/>
      </c>
      <c r="K30">
        <f t="shared" ca="1" si="0"/>
        <v>66.413883087860739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ommandButton1">
          <controlPr defaultSize="0" autoLine="0" r:id="rId4">
            <anchor moveWithCells="1">
              <from>
                <xdr:col>9</xdr:col>
                <xdr:colOff>7620</xdr:colOff>
                <xdr:row>6</xdr:row>
                <xdr:rowOff>0</xdr:rowOff>
              </from>
              <to>
                <xdr:col>11</xdr:col>
                <xdr:colOff>0</xdr:colOff>
                <xdr:row>8</xdr:row>
                <xdr:rowOff>15240</xdr:rowOff>
              </to>
            </anchor>
          </controlPr>
        </control>
      </mc:Choice>
      <mc:Fallback>
        <control shapeId="7170" r:id="rId3" name="CommandButton1"/>
      </mc:Fallback>
    </mc:AlternateContent>
    <mc:AlternateContent xmlns:mc="http://schemas.openxmlformats.org/markup-compatibility/2006">
      <mc:Choice Requires="x14">
        <control shapeId="7171" r:id="rId5" name="CommandButton2">
          <controlPr defaultSize="0" autoLine="0" autoPict="0" r:id="rId6">
            <anchor moveWithCells="1">
              <from>
                <xdr:col>9</xdr:col>
                <xdr:colOff>0</xdr:colOff>
                <xdr:row>8</xdr:row>
                <xdr:rowOff>205740</xdr:rowOff>
              </from>
              <to>
                <xdr:col>11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7171" r:id="rId5" name="CommandButton2"/>
      </mc:Fallback>
    </mc:AlternateContent>
    <mc:AlternateContent xmlns:mc="http://schemas.openxmlformats.org/markup-compatibility/2006">
      <mc:Choice Requires="x14">
        <control shapeId="7169" r:id="rId7" name="Button 1">
          <controlPr defaultSize="0" print="0" autoFill="0" autoPict="0" macro="[0]!GoHome">
            <anchor moveWithCells="1" sizeWithCells="1">
              <from>
                <xdr:col>9</xdr:col>
                <xdr:colOff>0</xdr:colOff>
                <xdr:row>2</xdr:row>
                <xdr:rowOff>213360</xdr:rowOff>
              </from>
              <to>
                <xdr:col>11</xdr:col>
                <xdr:colOff>0</xdr:colOff>
                <xdr:row>4</xdr:row>
                <xdr:rowOff>213360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/>
  <dimension ref="A1:K30"/>
  <sheetViews>
    <sheetView topLeftCell="A4" workbookViewId="0">
      <selection activeCell="G13" sqref="G13"/>
    </sheetView>
  </sheetViews>
  <sheetFormatPr defaultRowHeight="16.2"/>
  <cols>
    <col min="2" max="6" width="9.88671875" bestFit="1" customWidth="1"/>
    <col min="7" max="7" width="12.88671875" customWidth="1"/>
    <col min="8" max="11" width="9.88671875" bestFit="1" customWidth="1"/>
  </cols>
  <sheetData>
    <row r="1" spans="1:7">
      <c r="A1" t="s">
        <v>15</v>
      </c>
    </row>
    <row r="2" spans="1:7">
      <c r="A2" t="s">
        <v>16</v>
      </c>
    </row>
    <row r="4" spans="1:7">
      <c r="A4" t="s">
        <v>17</v>
      </c>
      <c r="D4">
        <v>100</v>
      </c>
      <c r="F4" t="s">
        <v>27</v>
      </c>
      <c r="G4" s="2"/>
    </row>
    <row r="5" spans="1:7">
      <c r="A5" t="s">
        <v>18</v>
      </c>
      <c r="D5">
        <v>95</v>
      </c>
      <c r="G5" s="2"/>
    </row>
    <row r="6" spans="1:7">
      <c r="A6" t="s">
        <v>19</v>
      </c>
      <c r="B6" s="2"/>
      <c r="D6" s="5">
        <v>0.08</v>
      </c>
      <c r="F6" s="7" t="s">
        <v>28</v>
      </c>
      <c r="G6" s="8">
        <f>D12/D15</f>
        <v>5.5555555555555552E-2</v>
      </c>
    </row>
    <row r="7" spans="1:7">
      <c r="B7" s="2"/>
      <c r="F7" t="s">
        <v>29</v>
      </c>
      <c r="G7" s="8">
        <f>EXP(D6*G6)</f>
        <v>1.0044543356358424</v>
      </c>
    </row>
    <row r="8" spans="1:7">
      <c r="A8" t="s">
        <v>26</v>
      </c>
      <c r="B8" s="2"/>
      <c r="D8" s="5">
        <v>0.03</v>
      </c>
      <c r="G8" s="8"/>
    </row>
    <row r="9" spans="1:7">
      <c r="B9" s="4"/>
      <c r="F9" t="s">
        <v>30</v>
      </c>
      <c r="G9" s="8">
        <f>EXP((D6-D8-0.5*D13^2)*G6+D13*SQRT(G6))</f>
        <v>1.0500178024560709</v>
      </c>
    </row>
    <row r="10" spans="1:7">
      <c r="A10" t="s">
        <v>21</v>
      </c>
      <c r="D10" s="2">
        <v>0</v>
      </c>
      <c r="F10" t="s">
        <v>31</v>
      </c>
      <c r="G10" s="8">
        <f>EXP((D6-D8-0.5*D13^2)*G6-D13*SQRT(G6))</f>
        <v>0.95554465145256628</v>
      </c>
    </row>
    <row r="11" spans="1:7">
      <c r="A11" t="s">
        <v>22</v>
      </c>
      <c r="D11">
        <v>0.5</v>
      </c>
      <c r="F11" t="s">
        <v>4</v>
      </c>
      <c r="G11" s="8">
        <v>0.5</v>
      </c>
    </row>
    <row r="12" spans="1:7">
      <c r="A12" t="s">
        <v>23</v>
      </c>
      <c r="D12" s="2">
        <f>D11-D10</f>
        <v>0.5</v>
      </c>
      <c r="F12" t="s">
        <v>32</v>
      </c>
      <c r="G12" s="8">
        <v>0.5</v>
      </c>
    </row>
    <row r="13" spans="1:7">
      <c r="A13" t="s">
        <v>24</v>
      </c>
      <c r="B13" s="2"/>
      <c r="D13" s="5">
        <v>0.2</v>
      </c>
      <c r="G13" s="8"/>
    </row>
    <row r="14" spans="1:7">
      <c r="D14" s="5"/>
    </row>
    <row r="15" spans="1:7">
      <c r="A15" t="s">
        <v>10</v>
      </c>
      <c r="D15" s="2">
        <v>9</v>
      </c>
      <c r="F15" t="s">
        <v>33</v>
      </c>
      <c r="G15">
        <f>binoptionValue(0,1,1,D4,D5,D6,D8,D12,D13,D15)</f>
        <v>9.7452955981893012</v>
      </c>
    </row>
    <row r="16" spans="1:7">
      <c r="A16" t="s">
        <v>11</v>
      </c>
      <c r="D16" s="2">
        <v>1</v>
      </c>
    </row>
    <row r="17" spans="1:11">
      <c r="A17" t="s">
        <v>12</v>
      </c>
      <c r="D17" s="6" t="s">
        <v>13</v>
      </c>
      <c r="F17" t="s">
        <v>34</v>
      </c>
      <c r="G17">
        <f>BSOptionValue(D16,D4,D5,D6,D8,D12,D13)</f>
        <v>9.7257564152682718</v>
      </c>
    </row>
    <row r="19" spans="1:11">
      <c r="A19" t="s">
        <v>36</v>
      </c>
    </row>
    <row r="20" spans="1:11">
      <c r="B20">
        <v>0</v>
      </c>
      <c r="C20">
        <v>1</v>
      </c>
      <c r="D20">
        <v>2</v>
      </c>
      <c r="E20">
        <v>3</v>
      </c>
      <c r="F20">
        <v>4</v>
      </c>
      <c r="G20">
        <v>5</v>
      </c>
      <c r="H20">
        <v>6</v>
      </c>
      <c r="I20">
        <v>7</v>
      </c>
      <c r="J20">
        <v>8</v>
      </c>
      <c r="K20">
        <v>9</v>
      </c>
    </row>
    <row r="21" spans="1:11">
      <c r="A21">
        <v>0</v>
      </c>
      <c r="B21">
        <f t="array" ref="B21:K30">Bintree_upstraight(0,D4,D6,D8,D12,D13,D15)</f>
        <v>100</v>
      </c>
      <c r="C21">
        <v>105.00178024560709</v>
      </c>
      <c r="D21">
        <v>110.25373854746763</v>
      </c>
      <c r="E21">
        <v>115.76838826217816</v>
      </c>
      <c r="F21">
        <v>121.55886863693351</v>
      </c>
      <c r="G21">
        <v>127.63897611519913</v>
      </c>
      <c r="H21">
        <v>134.0231972082243</v>
      </c>
      <c r="I21">
        <v>140.72674301071629</v>
      </c>
      <c r="J21">
        <v>147.76558544291257</v>
      </c>
      <c r="K21">
        <v>155.15649530540185</v>
      </c>
    </row>
    <row r="22" spans="1:11">
      <c r="A22">
        <v>1</v>
      </c>
      <c r="B22" t="str">
        <v/>
      </c>
      <c r="C22">
        <v>95.554465145256628</v>
      </c>
      <c r="D22">
        <v>100.33388950668758</v>
      </c>
      <c r="E22">
        <v>105.35237017168232</v>
      </c>
      <c r="F22">
        <v>110.62186421120839</v>
      </c>
      <c r="G22">
        <v>116.15492676264691</v>
      </c>
      <c r="H22">
        <v>121.96474094376036</v>
      </c>
      <c r="I22">
        <v>128.06514926289123</v>
      </c>
      <c r="J22">
        <v>134.47068660022975</v>
      </c>
      <c r="K22">
        <v>141.19661483873227</v>
      </c>
    </row>
    <row r="23" spans="1:11">
      <c r="A23">
        <v>2</v>
      </c>
      <c r="B23" t="str">
        <v/>
      </c>
      <c r="C23" t="str">
        <v/>
      </c>
      <c r="D23">
        <v>91.306558091960639</v>
      </c>
      <c r="E23">
        <v>95.873511477548092</v>
      </c>
      <c r="F23">
        <v>100.66889383540195</v>
      </c>
      <c r="G23">
        <v>105.70413068073225</v>
      </c>
      <c r="H23">
        <v>110.99121900791182</v>
      </c>
      <c r="I23">
        <v>116.54275587460806</v>
      </c>
      <c r="J23">
        <v>122.37196841563031</v>
      </c>
      <c r="K23">
        <v>128.49274535800384</v>
      </c>
    </row>
    <row r="24" spans="1:11">
      <c r="A24">
        <v>3</v>
      </c>
      <c r="B24" t="str">
        <v/>
      </c>
      <c r="C24" t="str">
        <v/>
      </c>
      <c r="D24" t="str">
        <v/>
      </c>
      <c r="E24">
        <v>87.247493227316028</v>
      </c>
      <c r="F24">
        <v>91.611421108347301</v>
      </c>
      <c r="G24">
        <v>96.19362307206454</v>
      </c>
      <c r="H24">
        <v>101.0050167084168</v>
      </c>
      <c r="I24">
        <v>106.05706568121053</v>
      </c>
      <c r="J24">
        <v>111.36180704152386</v>
      </c>
      <c r="K24">
        <v>116.93187990727789</v>
      </c>
    </row>
    <row r="25" spans="1:11">
      <c r="A25">
        <v>4</v>
      </c>
      <c r="B25" t="str">
        <v/>
      </c>
      <c r="C25" t="str">
        <v/>
      </c>
      <c r="D25" t="str">
        <v/>
      </c>
      <c r="E25" t="str">
        <v/>
      </c>
      <c r="F25">
        <v>83.368875506005836</v>
      </c>
      <c r="G25">
        <v>87.538803452050004</v>
      </c>
      <c r="H25">
        <v>91.917302030355458</v>
      </c>
      <c r="I25">
        <v>96.514803485604787</v>
      </c>
      <c r="J25">
        <v>101.34226186043428</v>
      </c>
      <c r="K25">
        <v>106.41117909462089</v>
      </c>
    </row>
    <row r="26" spans="1:11">
      <c r="A26">
        <v>5</v>
      </c>
      <c r="B26" t="str">
        <v/>
      </c>
      <c r="C26" t="str">
        <v/>
      </c>
      <c r="D26" t="str">
        <v/>
      </c>
      <c r="E26" t="str">
        <v/>
      </c>
      <c r="F26" t="str">
        <v/>
      </c>
      <c r="G26">
        <v>79.662683087378738</v>
      </c>
      <c r="H26">
        <v>83.647235433163829</v>
      </c>
      <c r="I26">
        <v>87.83108633105627</v>
      </c>
      <c r="J26">
        <v>92.224204256665146</v>
      </c>
      <c r="K26">
        <v>96.837056286843364</v>
      </c>
    </row>
    <row r="27" spans="1:11">
      <c r="A27">
        <v>6</v>
      </c>
      <c r="B27" t="str">
        <v/>
      </c>
      <c r="C27" t="str">
        <v/>
      </c>
      <c r="D27" t="str">
        <v/>
      </c>
      <c r="E27" t="str">
        <v/>
      </c>
      <c r="F27" t="str">
        <v/>
      </c>
      <c r="G27" t="str">
        <v/>
      </c>
      <c r="H27">
        <v>76.121250744505559</v>
      </c>
      <c r="I27">
        <v>79.92866842695328</v>
      </c>
      <c r="J27">
        <v>83.926524774909424</v>
      </c>
      <c r="K27">
        <v>88.124345111925379</v>
      </c>
    </row>
    <row r="28" spans="1:11">
      <c r="A28">
        <v>7</v>
      </c>
      <c r="B28" t="str">
        <v/>
      </c>
      <c r="C28" t="str">
        <v/>
      </c>
      <c r="D28" t="str">
        <v/>
      </c>
      <c r="E28" t="str">
        <v/>
      </c>
      <c r="F28" t="str">
        <v/>
      </c>
      <c r="G28" t="str">
        <v/>
      </c>
      <c r="H28" t="str">
        <v/>
      </c>
      <c r="I28">
        <v>72.737254010791972</v>
      </c>
      <c r="J28">
        <v>76.375411613100809</v>
      </c>
      <c r="K28">
        <v>80.195541863665994</v>
      </c>
    </row>
    <row r="29" spans="1:11">
      <c r="A29">
        <v>8</v>
      </c>
      <c r="B29" t="str">
        <v/>
      </c>
      <c r="C29" t="str">
        <v/>
      </c>
      <c r="D29" t="str">
        <v/>
      </c>
      <c r="E29" t="str">
        <v/>
      </c>
      <c r="F29" t="str">
        <v/>
      </c>
      <c r="G29" t="str">
        <v/>
      </c>
      <c r="H29" t="str">
        <v/>
      </c>
      <c r="I29" t="str">
        <v/>
      </c>
      <c r="J29">
        <v>69.503694031358989</v>
      </c>
      <c r="K29">
        <v>72.980116069386696</v>
      </c>
    </row>
    <row r="30" spans="1:11">
      <c r="A30">
        <v>9</v>
      </c>
      <c r="B30" t="str">
        <v/>
      </c>
      <c r="C30" t="str">
        <v/>
      </c>
      <c r="D30" t="str">
        <v/>
      </c>
      <c r="E30" t="str">
        <v/>
      </c>
      <c r="F30" t="str">
        <v/>
      </c>
      <c r="G30" t="str">
        <v/>
      </c>
      <c r="H30" t="str">
        <v/>
      </c>
      <c r="I30" t="str">
        <v/>
      </c>
      <c r="J30" t="str">
        <v/>
      </c>
      <c r="K30">
        <v>66.413883087860739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8</xdr:col>
                <xdr:colOff>0</xdr:colOff>
                <xdr:row>7</xdr:row>
                <xdr:rowOff>15240</xdr:rowOff>
              </from>
              <to>
                <xdr:col>10</xdr:col>
                <xdr:colOff>38100</xdr:colOff>
                <xdr:row>9</xdr:row>
                <xdr:rowOff>15240</xdr:rowOff>
              </to>
            </anchor>
          </controlPr>
        </control>
      </mc:Choice>
      <mc:Fallback>
        <control shapeId="8194" r:id="rId3" name="CommandButton1"/>
      </mc:Fallback>
    </mc:AlternateContent>
    <mc:AlternateContent xmlns:mc="http://schemas.openxmlformats.org/markup-compatibility/2006">
      <mc:Choice Requires="x14">
        <control shapeId="8195" r:id="rId5" name="CommandButton2">
          <controlPr defaultSize="0" autoLine="0" r:id="rId6">
            <anchor moveWithCells="1">
              <from>
                <xdr:col>8</xdr:col>
                <xdr:colOff>7620</xdr:colOff>
                <xdr:row>10</xdr:row>
                <xdr:rowOff>7620</xdr:rowOff>
              </from>
              <to>
                <xdr:col>10</xdr:col>
                <xdr:colOff>45720</xdr:colOff>
                <xdr:row>12</xdr:row>
                <xdr:rowOff>22860</xdr:rowOff>
              </to>
            </anchor>
          </controlPr>
        </control>
      </mc:Choice>
      <mc:Fallback>
        <control shapeId="8195" r:id="rId5" name="CommandButton2"/>
      </mc:Fallback>
    </mc:AlternateContent>
    <mc:AlternateContent xmlns:mc="http://schemas.openxmlformats.org/markup-compatibility/2006">
      <mc:Choice Requires="x14">
        <control shapeId="8193" r:id="rId7" name="Button 1">
          <controlPr defaultSize="0" print="0" autoFill="0" autoPict="0" macro="[0]!GoHome">
            <anchor moveWithCells="1" sizeWithCells="1">
              <from>
                <xdr:col>8</xdr:col>
                <xdr:colOff>0</xdr:colOff>
                <xdr:row>4</xdr:row>
                <xdr:rowOff>7620</xdr:rowOff>
              </from>
              <to>
                <xdr:col>9</xdr:col>
                <xdr:colOff>685800</xdr:colOff>
                <xdr:row>6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L29"/>
  <sheetViews>
    <sheetView workbookViewId="0">
      <selection activeCell="G15" sqref="G15"/>
    </sheetView>
  </sheetViews>
  <sheetFormatPr defaultRowHeight="16.2"/>
  <sheetData>
    <row r="1" spans="1:7">
      <c r="A1" t="s">
        <v>15</v>
      </c>
    </row>
    <row r="2" spans="1:7">
      <c r="A2" t="s">
        <v>16</v>
      </c>
    </row>
    <row r="4" spans="1:7">
      <c r="A4" t="s">
        <v>17</v>
      </c>
      <c r="D4">
        <v>100</v>
      </c>
    </row>
    <row r="5" spans="1:7">
      <c r="A5" t="s">
        <v>18</v>
      </c>
      <c r="D5">
        <v>95</v>
      </c>
    </row>
    <row r="6" spans="1:7">
      <c r="A6" t="s">
        <v>19</v>
      </c>
      <c r="B6" s="2"/>
      <c r="D6" s="5">
        <v>0.08</v>
      </c>
    </row>
    <row r="7" spans="1:7">
      <c r="B7" s="2"/>
    </row>
    <row r="8" spans="1:7">
      <c r="A8" t="s">
        <v>26</v>
      </c>
      <c r="B8" s="2"/>
      <c r="D8" s="5">
        <v>0.03</v>
      </c>
    </row>
    <row r="9" spans="1:7">
      <c r="B9" s="4"/>
    </row>
    <row r="10" spans="1:7">
      <c r="A10" t="s">
        <v>21</v>
      </c>
      <c r="D10" s="2">
        <v>0</v>
      </c>
    </row>
    <row r="11" spans="1:7">
      <c r="A11" t="s">
        <v>22</v>
      </c>
      <c r="D11">
        <v>0.5</v>
      </c>
    </row>
    <row r="12" spans="1:7">
      <c r="A12" t="s">
        <v>23</v>
      </c>
      <c r="D12" s="2">
        <f>D11-D10</f>
        <v>0.5</v>
      </c>
    </row>
    <row r="13" spans="1:7">
      <c r="A13" t="s">
        <v>24</v>
      </c>
      <c r="B13" s="2"/>
      <c r="D13" s="5">
        <v>0.2</v>
      </c>
    </row>
    <row r="14" spans="1:7">
      <c r="D14" s="5"/>
    </row>
    <row r="15" spans="1:7">
      <c r="A15" t="s">
        <v>10</v>
      </c>
      <c r="D15" s="2">
        <v>9</v>
      </c>
      <c r="F15" t="s">
        <v>33</v>
      </c>
      <c r="G15">
        <v>9.7452955981892995</v>
      </c>
    </row>
    <row r="16" spans="1:7">
      <c r="A16" t="s">
        <v>11</v>
      </c>
      <c r="D16" s="2">
        <v>1</v>
      </c>
    </row>
    <row r="17" spans="1:12">
      <c r="A17" t="s">
        <v>12</v>
      </c>
      <c r="D17" s="6" t="s">
        <v>13</v>
      </c>
      <c r="F17" t="s">
        <v>37</v>
      </c>
      <c r="G17">
        <v>9.7257564152682718</v>
      </c>
    </row>
    <row r="19" spans="1:12">
      <c r="B19">
        <v>0</v>
      </c>
      <c r="C19">
        <v>1</v>
      </c>
      <c r="D19">
        <v>2</v>
      </c>
      <c r="E19">
        <v>3</v>
      </c>
      <c r="F19">
        <v>4</v>
      </c>
      <c r="G19">
        <v>5</v>
      </c>
      <c r="H19">
        <v>6</v>
      </c>
      <c r="I19">
        <v>7</v>
      </c>
      <c r="J19">
        <v>8</v>
      </c>
      <c r="K19">
        <v>9</v>
      </c>
    </row>
    <row r="20" spans="1:12">
      <c r="A20">
        <v>0</v>
      </c>
      <c r="B20" s="9">
        <v>100</v>
      </c>
      <c r="C20">
        <v>104.17957933018607</v>
      </c>
      <c r="D20">
        <v>108.53384749414532</v>
      </c>
      <c r="E20">
        <v>113.07010575026629</v>
      </c>
      <c r="F20">
        <v>117.79596051882395</v>
      </c>
      <c r="G20">
        <v>122.71933613646286</v>
      </c>
      <c r="H20">
        <v>127.84848814376402</v>
      </c>
      <c r="I20">
        <v>133.19201712817616</v>
      </c>
      <c r="J20">
        <v>138.7588831455233</v>
      </c>
      <c r="K20">
        <v>144.55842074427062</v>
      </c>
    </row>
    <row r="21" spans="1:12">
      <c r="A21">
        <v>1</v>
      </c>
      <c r="C21">
        <v>94.988660423590474</v>
      </c>
      <c r="D21" s="10">
        <v>98.958786840675501</v>
      </c>
      <c r="E21">
        <v>103.09484784087127</v>
      </c>
      <c r="F21">
        <v>107.4037787917151</v>
      </c>
      <c r="G21">
        <v>111.8928049299324</v>
      </c>
      <c r="H21">
        <v>116.56945347674927</v>
      </c>
      <c r="I21">
        <v>121.44156625957434</v>
      </c>
      <c r="J21">
        <v>126.51731286121372</v>
      </c>
      <c r="K21">
        <v>131.80520431866785</v>
      </c>
    </row>
    <row r="22" spans="1:12">
      <c r="A22">
        <v>2</v>
      </c>
      <c r="D22">
        <v>90.228456090681831</v>
      </c>
      <c r="E22">
        <v>93.999625991393984</v>
      </c>
      <c r="F22" s="9">
        <v>97.928414929782491</v>
      </c>
      <c r="G22">
        <v>102.02141071856653</v>
      </c>
      <c r="H22">
        <v>106.28547651332397</v>
      </c>
      <c r="I22">
        <v>110.72776232066462</v>
      </c>
      <c r="J22">
        <v>115.35571698739668</v>
      </c>
      <c r="K22">
        <v>120.17710069078984</v>
      </c>
    </row>
    <row r="23" spans="1:12">
      <c r="A23">
        <v>3</v>
      </c>
      <c r="E23">
        <v>85.706801761426206</v>
      </c>
      <c r="F23">
        <v>89.288985532410322</v>
      </c>
      <c r="G23">
        <v>93.020889515855771</v>
      </c>
      <c r="H23" s="9">
        <v>96.908771386815701</v>
      </c>
      <c r="I23">
        <v>100.95915036483632</v>
      </c>
      <c r="J23">
        <v>105.17881814541649</v>
      </c>
      <c r="K23">
        <v>109.5748502883563</v>
      </c>
    </row>
    <row r="24" spans="1:12">
      <c r="A24">
        <v>4</v>
      </c>
      <c r="F24">
        <v>81.411742885080997</v>
      </c>
      <c r="G24">
        <v>84.814411263050076</v>
      </c>
      <c r="H24">
        <v>88.35929686521952</v>
      </c>
      <c r="I24">
        <v>92.052343773295974</v>
      </c>
      <c r="J24" s="9">
        <v>95.899744506596477</v>
      </c>
      <c r="K24">
        <v>99.907950405695431</v>
      </c>
    </row>
    <row r="25" spans="1:12">
      <c r="A25">
        <v>5</v>
      </c>
      <c r="G25">
        <v>77.331923994036174</v>
      </c>
      <c r="H25">
        <v>80.564073104926109</v>
      </c>
      <c r="I25">
        <v>83.9313124519756</v>
      </c>
      <c r="J25">
        <v>87.439288238772264</v>
      </c>
      <c r="K25">
        <v>91.093882656461801</v>
      </c>
      <c r="L25" s="11"/>
    </row>
    <row r="26" spans="1:12">
      <c r="A26">
        <v>6</v>
      </c>
      <c r="H26">
        <v>73.456558681724104</v>
      </c>
      <c r="I26">
        <v>76.526733825051437</v>
      </c>
      <c r="J26">
        <v>79.725229374069798</v>
      </c>
      <c r="K26">
        <v>83.057408581931853</v>
      </c>
    </row>
    <row r="27" spans="1:12">
      <c r="A27">
        <v>7</v>
      </c>
      <c r="I27">
        <v>69.775401085038382</v>
      </c>
      <c r="J27">
        <v>72.691719326343076</v>
      </c>
      <c r="K27">
        <v>75.72992740206378</v>
      </c>
    </row>
    <row r="28" spans="1:12">
      <c r="A28">
        <v>8</v>
      </c>
      <c r="J28">
        <v>66.278718795865373</v>
      </c>
      <c r="K28">
        <v>69.048890426969507</v>
      </c>
    </row>
    <row r="29" spans="1:12">
      <c r="A29">
        <v>9</v>
      </c>
      <c r="K29">
        <v>62.957267130110992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8</xdr:col>
                <xdr:colOff>0</xdr:colOff>
                <xdr:row>15</xdr:row>
                <xdr:rowOff>0</xdr:rowOff>
              </from>
              <to>
                <xdr:col>9</xdr:col>
                <xdr:colOff>7620</xdr:colOff>
                <xdr:row>16</xdr:row>
                <xdr:rowOff>15240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20" r:id="rId5" name="CommandButton2">
          <controlPr defaultSize="0" autoLine="0" r:id="rId6">
            <anchor moveWithCells="1">
              <from>
                <xdr:col>8</xdr:col>
                <xdr:colOff>7620</xdr:colOff>
                <xdr:row>5</xdr:row>
                <xdr:rowOff>15240</xdr:rowOff>
              </from>
              <to>
                <xdr:col>10</xdr:col>
                <xdr:colOff>22860</xdr:colOff>
                <xdr:row>7</xdr:row>
                <xdr:rowOff>15240</xdr:rowOff>
              </to>
            </anchor>
          </controlPr>
        </control>
      </mc:Choice>
      <mc:Fallback>
        <control shapeId="9220" r:id="rId5" name="CommandButton2"/>
      </mc:Fallback>
    </mc:AlternateContent>
    <mc:AlternateContent xmlns:mc="http://schemas.openxmlformats.org/markup-compatibility/2006">
      <mc:Choice Requires="x14">
        <control shapeId="9221" r:id="rId7" name="CommandButton3">
          <controlPr defaultSize="0" autoLine="0" r:id="rId8">
            <anchor moveWithCells="1">
              <from>
                <xdr:col>8</xdr:col>
                <xdr:colOff>0</xdr:colOff>
                <xdr:row>8</xdr:row>
                <xdr:rowOff>15240</xdr:rowOff>
              </from>
              <to>
                <xdr:col>10</xdr:col>
                <xdr:colOff>7620</xdr:colOff>
                <xdr:row>10</xdr:row>
                <xdr:rowOff>22860</xdr:rowOff>
              </to>
            </anchor>
          </controlPr>
        </control>
      </mc:Choice>
      <mc:Fallback>
        <control shapeId="9221" r:id="rId7" name="CommandButton3"/>
      </mc:Fallback>
    </mc:AlternateContent>
    <mc:AlternateContent xmlns:mc="http://schemas.openxmlformats.org/markup-compatibility/2006">
      <mc:Choice Requires="x14">
        <control shapeId="9218" r:id="rId9" name="Button 2">
          <controlPr defaultSize="0" print="0" autoFill="0" autoPict="0" macro="[0]!JR_Tree.JR_Tree">
            <anchor moveWithCells="1" sizeWithCells="1">
              <from>
                <xdr:col>10</xdr:col>
                <xdr:colOff>0</xdr:colOff>
                <xdr:row>11</xdr:row>
                <xdr:rowOff>182880</xdr:rowOff>
              </from>
              <to>
                <xdr:col>12</xdr:col>
                <xdr:colOff>7620</xdr:colOff>
                <xdr:row>13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0" name="Button 3">
          <controlPr defaultSize="0" print="0" autoFill="0" autoPict="0" macro="[0]!GoHome">
            <anchor moveWithCells="1" sizeWithCells="1">
              <from>
                <xdr:col>8</xdr:col>
                <xdr:colOff>7620</xdr:colOff>
                <xdr:row>2</xdr:row>
                <xdr:rowOff>15240</xdr:rowOff>
              </from>
              <to>
                <xdr:col>10</xdr:col>
                <xdr:colOff>0</xdr:colOff>
                <xdr:row>4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2" r:id="rId11" name="Button 6">
          <controlPr defaultSize="0" print="0" autoFill="0" autoPict="0" macro="[0]!CRR_Tree.CRR_Tree">
            <anchor moveWithCells="1" sizeWithCells="1">
              <from>
                <xdr:col>10</xdr:col>
                <xdr:colOff>0</xdr:colOff>
                <xdr:row>13</xdr:row>
                <xdr:rowOff>198120</xdr:rowOff>
              </from>
              <to>
                <xdr:col>12</xdr:col>
                <xdr:colOff>15240</xdr:colOff>
                <xdr:row>15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3" r:id="rId12" name="Button 7">
          <controlPr defaultSize="0" print="0" autoFill="0" autoPict="0" macro="[0]!LR_Tree.LR_Tree">
            <anchor moveWithCells="1" sizeWithCells="1">
              <from>
                <xdr:col>10</xdr:col>
                <xdr:colOff>0</xdr:colOff>
                <xdr:row>15</xdr:row>
                <xdr:rowOff>198120</xdr:rowOff>
              </from>
              <to>
                <xdr:col>11</xdr:col>
                <xdr:colOff>594360</xdr:colOff>
                <xdr:row>17</xdr:row>
                <xdr:rowOff>68580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R37"/>
  <sheetViews>
    <sheetView tabSelected="1" topLeftCell="A13" zoomScaleNormal="100" workbookViewId="0">
      <selection activeCell="Q24" sqref="Q24"/>
    </sheetView>
  </sheetViews>
  <sheetFormatPr defaultRowHeight="16.2"/>
  <cols>
    <col min="1" max="1" width="22.21875" bestFit="1" customWidth="1"/>
    <col min="7" max="7" width="11.77734375" customWidth="1"/>
    <col min="15" max="15" width="9.21875" bestFit="1" customWidth="1"/>
  </cols>
  <sheetData>
    <row r="1" spans="1:7">
      <c r="A1" t="s">
        <v>15</v>
      </c>
    </row>
    <row r="2" spans="1:7">
      <c r="A2" t="s">
        <v>16</v>
      </c>
    </row>
    <row r="4" spans="1:7">
      <c r="A4" t="s">
        <v>17</v>
      </c>
      <c r="B4">
        <v>30</v>
      </c>
    </row>
    <row r="5" spans="1:7">
      <c r="A5" t="s">
        <v>18</v>
      </c>
      <c r="B5">
        <v>25</v>
      </c>
    </row>
    <row r="6" spans="1:7">
      <c r="A6" t="s">
        <v>19</v>
      </c>
      <c r="B6" s="2">
        <v>0.25003777873572902</v>
      </c>
      <c r="C6" s="2"/>
    </row>
    <row r="7" spans="1:7">
      <c r="B7" s="2"/>
      <c r="C7" s="2"/>
    </row>
    <row r="8" spans="1:7">
      <c r="A8" t="s">
        <v>20</v>
      </c>
      <c r="B8" s="2">
        <v>0.01</v>
      </c>
      <c r="C8" s="2"/>
    </row>
    <row r="9" spans="1:7">
      <c r="B9" s="4"/>
      <c r="C9" s="4"/>
    </row>
    <row r="10" spans="1:7">
      <c r="A10" t="s">
        <v>21</v>
      </c>
      <c r="B10">
        <v>0</v>
      </c>
    </row>
    <row r="11" spans="1:7">
      <c r="A11" t="s">
        <v>22</v>
      </c>
      <c r="B11">
        <v>1</v>
      </c>
    </row>
    <row r="12" spans="1:7">
      <c r="A12" t="s">
        <v>23</v>
      </c>
      <c r="B12">
        <v>5</v>
      </c>
    </row>
    <row r="13" spans="1:7">
      <c r="A13" t="s">
        <v>24</v>
      </c>
      <c r="B13" s="2">
        <v>0.22</v>
      </c>
      <c r="C13" s="2"/>
    </row>
    <row r="15" spans="1:7">
      <c r="A15" t="s">
        <v>10</v>
      </c>
      <c r="B15">
        <v>16</v>
      </c>
      <c r="F15" t="s">
        <v>25</v>
      </c>
      <c r="G15">
        <f>oiloptionvalue(0,1,1,B4,B5,B6,B8,B12,B13,B15)</f>
        <v>1000.0000000000048</v>
      </c>
    </row>
    <row r="16" spans="1:7">
      <c r="A16" t="s">
        <v>11</v>
      </c>
      <c r="B16">
        <v>1</v>
      </c>
      <c r="G16" s="12"/>
    </row>
    <row r="17" spans="1:18">
      <c r="A17" t="s">
        <v>12</v>
      </c>
      <c r="B17" t="s">
        <v>13</v>
      </c>
    </row>
    <row r="19" spans="1:18">
      <c r="A19" t="s">
        <v>14</v>
      </c>
    </row>
    <row r="20" spans="1:18">
      <c r="B20">
        <v>0</v>
      </c>
      <c r="C20">
        <v>1</v>
      </c>
      <c r="D20">
        <v>2</v>
      </c>
      <c r="E20">
        <v>3</v>
      </c>
      <c r="F20">
        <v>4</v>
      </c>
      <c r="G20">
        <v>5</v>
      </c>
      <c r="H20">
        <v>6</v>
      </c>
      <c r="I20">
        <v>7</v>
      </c>
      <c r="J20">
        <v>8</v>
      </c>
      <c r="K20">
        <v>9</v>
      </c>
      <c r="L20">
        <v>10</v>
      </c>
      <c r="M20">
        <v>11</v>
      </c>
      <c r="N20">
        <v>12</v>
      </c>
      <c r="O20">
        <v>13</v>
      </c>
      <c r="P20">
        <v>14</v>
      </c>
      <c r="Q20">
        <v>15</v>
      </c>
      <c r="R20">
        <v>16</v>
      </c>
    </row>
    <row r="21" spans="1:18">
      <c r="A21">
        <v>0</v>
      </c>
      <c r="B21" t="str">
        <f t="array" ref="B21:R37">Bintree(0,B4,B6,B8,B12,B13,B15)</f>
        <v/>
      </c>
      <c r="C21" t="str">
        <v/>
      </c>
      <c r="D21" t="str">
        <v/>
      </c>
      <c r="E21" t="str">
        <v/>
      </c>
      <c r="F21" t="str">
        <v/>
      </c>
      <c r="G21" t="str">
        <v/>
      </c>
      <c r="H21" t="str">
        <v/>
      </c>
      <c r="I21" t="str">
        <v/>
      </c>
      <c r="J21" t="str">
        <v/>
      </c>
      <c r="K21" t="str">
        <v/>
      </c>
      <c r="L21" t="str">
        <v/>
      </c>
      <c r="M21" t="str">
        <v/>
      </c>
      <c r="N21" t="str">
        <v/>
      </c>
      <c r="O21" t="str">
        <v/>
      </c>
      <c r="P21" t="str">
        <v/>
      </c>
      <c r="Q21" t="str">
        <v/>
      </c>
      <c r="R21">
        <v>631.51777934344557</v>
      </c>
    </row>
    <row r="22" spans="1:18">
      <c r="A22">
        <v>1</v>
      </c>
      <c r="B22" t="str">
        <v/>
      </c>
      <c r="C22" t="str">
        <v/>
      </c>
      <c r="D22" t="str">
        <v/>
      </c>
      <c r="E22" t="str">
        <v/>
      </c>
      <c r="F22" t="str">
        <v/>
      </c>
      <c r="G22" t="str">
        <v/>
      </c>
      <c r="H22" t="str">
        <v/>
      </c>
      <c r="I22" t="str">
        <v/>
      </c>
      <c r="J22" t="str">
        <v/>
      </c>
      <c r="K22" t="str">
        <v/>
      </c>
      <c r="L22" t="str">
        <v/>
      </c>
      <c r="M22" t="str">
        <v/>
      </c>
      <c r="N22" t="str">
        <v/>
      </c>
      <c r="O22" t="str">
        <v/>
      </c>
      <c r="P22" t="str">
        <v/>
      </c>
      <c r="Q22">
        <v>522.01329187640431</v>
      </c>
      <c r="R22">
        <v>493.8138468915717</v>
      </c>
    </row>
    <row r="23" spans="1:18">
      <c r="A23">
        <v>2</v>
      </c>
      <c r="B23" t="str">
        <v/>
      </c>
      <c r="C23" t="str">
        <v/>
      </c>
      <c r="D23" t="str">
        <v/>
      </c>
      <c r="E23" t="str">
        <v/>
      </c>
      <c r="F23" t="str">
        <v/>
      </c>
      <c r="G23" t="str">
        <v/>
      </c>
      <c r="H23" t="str">
        <v/>
      </c>
      <c r="I23" t="str">
        <v/>
      </c>
      <c r="J23" t="str">
        <v/>
      </c>
      <c r="K23" t="str">
        <v/>
      </c>
      <c r="L23" t="str">
        <v/>
      </c>
      <c r="M23" t="str">
        <v/>
      </c>
      <c r="N23" t="str">
        <v/>
      </c>
      <c r="O23" t="str">
        <v/>
      </c>
      <c r="P23">
        <v>431.49676194222303</v>
      </c>
      <c r="Q23">
        <v>408.18706966257872</v>
      </c>
      <c r="R23">
        <v>386.13657977352955</v>
      </c>
    </row>
    <row r="24" spans="1:18">
      <c r="A24">
        <v>3</v>
      </c>
      <c r="B24" t="str">
        <v/>
      </c>
      <c r="C24" t="str">
        <v/>
      </c>
      <c r="D24" t="str">
        <v/>
      </c>
      <c r="E24" t="str">
        <v/>
      </c>
      <c r="F24" t="str">
        <v/>
      </c>
      <c r="G24" t="str">
        <v/>
      </c>
      <c r="H24" t="str">
        <v/>
      </c>
      <c r="I24" t="str">
        <v/>
      </c>
      <c r="J24" t="str">
        <v/>
      </c>
      <c r="K24" t="str">
        <v/>
      </c>
      <c r="L24" t="str">
        <v/>
      </c>
      <c r="M24" t="str">
        <v/>
      </c>
      <c r="N24" t="str">
        <v/>
      </c>
      <c r="O24">
        <v>356.67569861555762</v>
      </c>
      <c r="P24">
        <v>337.40788130695626</v>
      </c>
      <c r="Q24">
        <v>319.18092208114172</v>
      </c>
      <c r="R24">
        <v>301.93859321230832</v>
      </c>
    </row>
    <row r="25" spans="1:18">
      <c r="A25">
        <v>4</v>
      </c>
      <c r="B25" t="str">
        <v/>
      </c>
      <c r="C25" t="str">
        <v/>
      </c>
      <c r="D25" t="str">
        <v/>
      </c>
      <c r="E25" t="str">
        <v/>
      </c>
      <c r="F25" t="str">
        <v/>
      </c>
      <c r="G25" t="str">
        <v/>
      </c>
      <c r="H25" t="str">
        <v/>
      </c>
      <c r="I25" t="str">
        <v/>
      </c>
      <c r="J25" t="str">
        <v/>
      </c>
      <c r="K25" t="str">
        <v/>
      </c>
      <c r="L25" t="str">
        <v/>
      </c>
      <c r="M25" t="str">
        <v/>
      </c>
      <c r="N25">
        <v>294.82852527159957</v>
      </c>
      <c r="O25">
        <v>278.90172626525498</v>
      </c>
      <c r="P25">
        <v>263.83530169640693</v>
      </c>
      <c r="Q25">
        <v>249.58277366498262</v>
      </c>
      <c r="R25">
        <v>236.1001750326206</v>
      </c>
    </row>
    <row r="26" spans="1:18">
      <c r="A26">
        <v>5</v>
      </c>
      <c r="B26" t="str">
        <v/>
      </c>
      <c r="C26" t="str">
        <v/>
      </c>
      <c r="D26" t="str">
        <v/>
      </c>
      <c r="E26" t="str">
        <v/>
      </c>
      <c r="F26" t="str">
        <v/>
      </c>
      <c r="G26" t="str">
        <v/>
      </c>
      <c r="H26" t="str">
        <v/>
      </c>
      <c r="I26" t="str">
        <v/>
      </c>
      <c r="J26" t="str">
        <v/>
      </c>
      <c r="K26" t="str">
        <v/>
      </c>
      <c r="L26" t="str">
        <v/>
      </c>
      <c r="M26">
        <v>243.70558367509358</v>
      </c>
      <c r="N26">
        <v>230.54047407675509</v>
      </c>
      <c r="O26">
        <v>218.08655093595519</v>
      </c>
      <c r="P26">
        <v>206.30539556930896</v>
      </c>
      <c r="Q26">
        <v>195.16066469182721</v>
      </c>
      <c r="R26">
        <v>184.61797830275424</v>
      </c>
    </row>
    <row r="27" spans="1:18">
      <c r="A27">
        <v>6</v>
      </c>
      <c r="B27" t="str">
        <v/>
      </c>
      <c r="C27" t="str">
        <v/>
      </c>
      <c r="D27" t="str">
        <v/>
      </c>
      <c r="E27" t="str">
        <v/>
      </c>
      <c r="F27" t="str">
        <v/>
      </c>
      <c r="G27" t="str">
        <v/>
      </c>
      <c r="H27" t="str">
        <v/>
      </c>
      <c r="I27" t="str">
        <v/>
      </c>
      <c r="J27" t="str">
        <v/>
      </c>
      <c r="K27" t="str">
        <v/>
      </c>
      <c r="L27">
        <v>201.44730385129807</v>
      </c>
      <c r="M27">
        <v>190.56500975898109</v>
      </c>
      <c r="N27">
        <v>180.27058317567329</v>
      </c>
      <c r="O27">
        <v>170.53226717537939</v>
      </c>
      <c r="P27">
        <v>161.32002035870354</v>
      </c>
      <c r="Q27">
        <v>152.60542417915948</v>
      </c>
      <c r="R27">
        <v>144.36159527576416</v>
      </c>
    </row>
    <row r="28" spans="1:18">
      <c r="A28">
        <v>7</v>
      </c>
      <c r="B28" t="str">
        <v/>
      </c>
      <c r="C28" t="str">
        <v/>
      </c>
      <c r="D28" t="str">
        <v/>
      </c>
      <c r="E28" t="str">
        <v/>
      </c>
      <c r="F28" t="str">
        <v/>
      </c>
      <c r="G28" t="str">
        <v/>
      </c>
      <c r="H28" t="str">
        <v/>
      </c>
      <c r="I28" t="str">
        <v/>
      </c>
      <c r="J28" t="str">
        <v/>
      </c>
      <c r="K28">
        <v>166.51656321120453</v>
      </c>
      <c r="L28">
        <v>157.52124693015944</v>
      </c>
      <c r="M28">
        <v>149.01186257946173</v>
      </c>
      <c r="N28">
        <v>140.9621598491108</v>
      </c>
      <c r="O28">
        <v>133.34730648528239</v>
      </c>
      <c r="P28">
        <v>126.14381168615445</v>
      </c>
      <c r="Q28">
        <v>119.32945363593258</v>
      </c>
      <c r="R28">
        <v>112.88321095352721</v>
      </c>
    </row>
    <row r="29" spans="1:18">
      <c r="A29">
        <v>8</v>
      </c>
      <c r="B29" t="str">
        <v/>
      </c>
      <c r="C29" t="str">
        <v/>
      </c>
      <c r="D29" t="str">
        <v/>
      </c>
      <c r="E29" t="str">
        <v/>
      </c>
      <c r="F29" t="str">
        <v/>
      </c>
      <c r="G29" t="str">
        <v/>
      </c>
      <c r="H29" t="str">
        <v/>
      </c>
      <c r="I29" t="str">
        <v/>
      </c>
      <c r="J29">
        <v>137.64277452995259</v>
      </c>
      <c r="K29">
        <v>130.20723618577549</v>
      </c>
      <c r="L29">
        <v>123.17336971036544</v>
      </c>
      <c r="M29">
        <v>116.51947656856726</v>
      </c>
      <c r="N29">
        <v>110.22503039202283</v>
      </c>
      <c r="O29">
        <v>104.27061365807636</v>
      </c>
      <c r="P29">
        <v>98.637857789319966</v>
      </c>
      <c r="Q29">
        <v>93.309386488994832</v>
      </c>
      <c r="R29">
        <v>88.268762137445009</v>
      </c>
    </row>
    <row r="30" spans="1:18">
      <c r="A30">
        <v>9</v>
      </c>
      <c r="B30" t="str">
        <v/>
      </c>
      <c r="C30" t="str">
        <v/>
      </c>
      <c r="D30" t="str">
        <v/>
      </c>
      <c r="E30" t="str">
        <v/>
      </c>
      <c r="F30" t="str">
        <v/>
      </c>
      <c r="G30" t="str">
        <v/>
      </c>
      <c r="H30" t="str">
        <v/>
      </c>
      <c r="I30">
        <v>113.77566900821409</v>
      </c>
      <c r="J30">
        <v>107.62944482438756</v>
      </c>
      <c r="K30">
        <v>101.81524304963276</v>
      </c>
      <c r="L30">
        <v>96.315127650894468</v>
      </c>
      <c r="M30">
        <v>91.112131509482808</v>
      </c>
      <c r="N30">
        <v>86.190204079786582</v>
      </c>
      <c r="O30">
        <v>81.534161875491705</v>
      </c>
      <c r="P30">
        <v>77.129641630561352</v>
      </c>
      <c r="Q30">
        <v>72.963055990485657</v>
      </c>
      <c r="R30">
        <v>69.021551597114552</v>
      </c>
    </row>
    <row r="31" spans="1:18">
      <c r="A31">
        <v>10</v>
      </c>
      <c r="B31" t="str">
        <v/>
      </c>
      <c r="C31" t="str">
        <v/>
      </c>
      <c r="D31" t="str">
        <v/>
      </c>
      <c r="E31" t="str">
        <v/>
      </c>
      <c r="F31" t="str">
        <v/>
      </c>
      <c r="G31" t="str">
        <v/>
      </c>
      <c r="H31">
        <v>94.047093299835623</v>
      </c>
      <c r="I31">
        <v>88.9666176208369</v>
      </c>
      <c r="J31">
        <v>84.16059203082294</v>
      </c>
      <c r="K31">
        <v>79.614190585117896</v>
      </c>
      <c r="L31">
        <v>75.313388244727363</v>
      </c>
      <c r="M31">
        <v>71.244917610973133</v>
      </c>
      <c r="N31">
        <v>67.396227997346884</v>
      </c>
      <c r="O31">
        <v>63.755446712324733</v>
      </c>
      <c r="P31">
        <v>60.311342433705512</v>
      </c>
      <c r="Q31">
        <v>57.053290561487366</v>
      </c>
      <c r="R31">
        <v>53.971240442401012</v>
      </c>
    </row>
    <row r="32" spans="1:18">
      <c r="A32">
        <v>11</v>
      </c>
      <c r="B32" t="str">
        <v/>
      </c>
      <c r="C32" t="str">
        <v/>
      </c>
      <c r="D32" t="str">
        <v/>
      </c>
      <c r="E32" t="str">
        <v/>
      </c>
      <c r="F32" t="str">
        <v/>
      </c>
      <c r="G32">
        <v>77.739430892816173</v>
      </c>
      <c r="H32">
        <v>73.539904101584185</v>
      </c>
      <c r="I32">
        <v>69.56723805615043</v>
      </c>
      <c r="J32">
        <v>65.809177614318529</v>
      </c>
      <c r="K32">
        <v>62.254129663410332</v>
      </c>
      <c r="L32">
        <v>58.891127357067475</v>
      </c>
      <c r="M32">
        <v>55.709796284000483</v>
      </c>
      <c r="N32">
        <v>52.700322464320692</v>
      </c>
      <c r="O32">
        <v>49.853422074727902</v>
      </c>
      <c r="P32">
        <v>47.160312809160033</v>
      </c>
      <c r="Q32">
        <v>44.612686786556225</v>
      </c>
      <c r="R32">
        <v>42.202684922157481</v>
      </c>
    </row>
    <row r="33" spans="1:18">
      <c r="A33">
        <v>12</v>
      </c>
      <c r="B33" t="str">
        <v/>
      </c>
      <c r="C33" t="str">
        <v/>
      </c>
      <c r="D33" t="str">
        <v/>
      </c>
      <c r="E33" t="str">
        <v/>
      </c>
      <c r="F33">
        <v>64.259499188046718</v>
      </c>
      <c r="G33">
        <v>60.788165717604628</v>
      </c>
      <c r="H33">
        <v>57.50435558947413</v>
      </c>
      <c r="I33">
        <v>54.397938689619473</v>
      </c>
      <c r="J33">
        <v>51.459332138333764</v>
      </c>
      <c r="K33">
        <v>48.679470728339723</v>
      </c>
      <c r="L33">
        <v>46.049778959840459</v>
      </c>
      <c r="M33">
        <v>43.562144586252167</v>
      </c>
      <c r="N33">
        <v>41.208893589010906</v>
      </c>
      <c r="O33">
        <v>38.98276650425408</v>
      </c>
      <c r="P33">
        <v>36.876896028347566</v>
      </c>
      <c r="Q33">
        <v>34.884785833174618</v>
      </c>
      <c r="R33">
        <v>33.000290525834451</v>
      </c>
    </row>
    <row r="34" spans="1:18">
      <c r="A34">
        <v>13</v>
      </c>
      <c r="B34" t="str">
        <v/>
      </c>
      <c r="C34" t="str">
        <v/>
      </c>
      <c r="D34" t="str">
        <v/>
      </c>
      <c r="E34">
        <v>53.116972795849989</v>
      </c>
      <c r="F34">
        <v>50.247564726309747</v>
      </c>
      <c r="G34">
        <v>47.533163658037957</v>
      </c>
      <c r="H34">
        <v>44.965396027616677</v>
      </c>
      <c r="I34">
        <v>42.536340616126871</v>
      </c>
      <c r="J34">
        <v>40.238504113249903</v>
      </c>
      <c r="K34">
        <v>38.064798001409727</v>
      </c>
      <c r="L34">
        <v>36.008516688646395</v>
      </c>
      <c r="M34">
        <v>34.063316822763809</v>
      </c>
      <c r="N34">
        <v>32.223197722938508</v>
      </c>
      <c r="O34">
        <v>30.482482868423784</v>
      </c>
      <c r="P34">
        <v>28.835802387244119</v>
      </c>
      <c r="Q34">
        <v>27.278076490860002</v>
      </c>
      <c r="R34">
        <v>25.804499803701258</v>
      </c>
    </row>
    <row r="35" spans="1:18">
      <c r="A35">
        <v>14</v>
      </c>
      <c r="B35" t="str">
        <v/>
      </c>
      <c r="C35" t="str">
        <v/>
      </c>
      <c r="D35">
        <v>43.906548209138478</v>
      </c>
      <c r="E35">
        <v>41.534692338865632</v>
      </c>
      <c r="F35">
        <v>39.290965426545739</v>
      </c>
      <c r="G35">
        <v>37.168445875435978</v>
      </c>
      <c r="H35">
        <v>35.160585997254472</v>
      </c>
      <c r="I35">
        <v>33.261191813439687</v>
      </c>
      <c r="J35">
        <v>31.464403947556892</v>
      </c>
      <c r="K35">
        <v>29.764679549907342</v>
      </c>
      <c r="L35">
        <v>28.156775198579993</v>
      </c>
      <c r="M35">
        <v>26.635730724197817</v>
      </c>
      <c r="N35">
        <v>25.196853908460202</v>
      </c>
      <c r="O35">
        <v>23.83570600927851</v>
      </c>
      <c r="P35">
        <v>22.548088067851769</v>
      </c>
      <c r="Q35">
        <v>21.330027955441654</v>
      </c>
      <c r="R35">
        <v>20.177768119887826</v>
      </c>
    </row>
    <row r="36" spans="1:18">
      <c r="A36">
        <v>15</v>
      </c>
      <c r="B36" t="str">
        <v/>
      </c>
      <c r="C36">
        <v>36.293201102605352</v>
      </c>
      <c r="D36">
        <v>34.332622428185879</v>
      </c>
      <c r="E36">
        <v>32.477955291514796</v>
      </c>
      <c r="F36">
        <v>30.723478293101948</v>
      </c>
      <c r="G36">
        <v>29.06377910660277</v>
      </c>
      <c r="H36">
        <v>27.493737782517055</v>
      </c>
      <c r="I36">
        <v>26.008510953831109</v>
      </c>
      <c r="J36">
        <v>24.603516894879775</v>
      </c>
      <c r="K36">
        <v>23.274421387336968</v>
      </c>
      <c r="L36">
        <v>22.017124349733152</v>
      </c>
      <c r="M36">
        <v>20.827747189253643</v>
      </c>
      <c r="N36">
        <v>19.702620836799728</v>
      </c>
      <c r="O36">
        <v>18.638274428402337</v>
      </c>
      <c r="P36">
        <v>17.631424598071991</v>
      </c>
      <c r="Q36">
        <v>16.67896534905487</v>
      </c>
      <c r="R36">
        <v>15.777958472249207</v>
      </c>
    </row>
    <row r="37" spans="1:18">
      <c r="A37">
        <v>16</v>
      </c>
      <c r="B37">
        <v>30</v>
      </c>
      <c r="C37">
        <v>28.379383508599854</v>
      </c>
      <c r="D37">
        <v>26.846313610939646</v>
      </c>
      <c r="E37">
        <v>25.396060991900015</v>
      </c>
      <c r="F37">
        <v>24.024151816564114</v>
      </c>
      <c r="G37">
        <v>22.72635392903663</v>
      </c>
      <c r="H37">
        <v>21.498663796810188</v>
      </c>
      <c r="I37">
        <v>20.337294160404259</v>
      </c>
      <c r="J37">
        <v>19.238662350177361</v>
      </c>
      <c r="K37">
        <v>18.199379234271479</v>
      </c>
      <c r="L37">
        <v>17.216238763594625</v>
      </c>
      <c r="M37">
        <v>16.286208081589162</v>
      </c>
      <c r="N37">
        <v>15.406418168275906</v>
      </c>
      <c r="O37">
        <v>14.574154989712081</v>
      </c>
      <c r="P37">
        <v>13.786851125560444</v>
      </c>
      <c r="Q37">
        <v>13.042077848941714</v>
      </c>
      <c r="R37">
        <v>12.337537634137732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oHome">
                <anchor moveWithCells="1" sizeWithCells="1">
                  <from>
                    <xdr:col>6</xdr:col>
                    <xdr:colOff>662940</xdr:colOff>
                    <xdr:row>2</xdr:row>
                    <xdr:rowOff>30480</xdr:rowOff>
                  </from>
                  <to>
                    <xdr:col>9</xdr:col>
                    <xdr:colOff>533400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/>
  <dimension ref="A1:K30"/>
  <sheetViews>
    <sheetView workbookViewId="0">
      <selection activeCell="L10" sqref="L10"/>
    </sheetView>
  </sheetViews>
  <sheetFormatPr defaultRowHeight="16.2"/>
  <cols>
    <col min="7" max="7" width="9.44140625" bestFit="1" customWidth="1"/>
  </cols>
  <sheetData>
    <row r="1" spans="1:7">
      <c r="A1" t="s">
        <v>15</v>
      </c>
    </row>
    <row r="2" spans="1:7">
      <c r="A2" t="s">
        <v>16</v>
      </c>
    </row>
    <row r="4" spans="1:7">
      <c r="A4" t="s">
        <v>17</v>
      </c>
      <c r="D4">
        <v>100</v>
      </c>
      <c r="F4" t="s">
        <v>40</v>
      </c>
      <c r="G4" s="2"/>
    </row>
    <row r="5" spans="1:7">
      <c r="A5" t="s">
        <v>18</v>
      </c>
      <c r="D5">
        <v>95</v>
      </c>
      <c r="G5" s="2"/>
    </row>
    <row r="6" spans="1:7">
      <c r="A6" t="s">
        <v>19</v>
      </c>
      <c r="B6" s="2"/>
      <c r="D6" s="5">
        <v>0.08</v>
      </c>
      <c r="F6" s="7" t="s">
        <v>28</v>
      </c>
      <c r="G6" s="8">
        <f>D12/D15</f>
        <v>5.5555555555555552E-2</v>
      </c>
    </row>
    <row r="7" spans="1:7">
      <c r="B7" s="2"/>
      <c r="F7" t="s">
        <v>29</v>
      </c>
      <c r="G7" s="8">
        <f>EXP(D6*G6)</f>
        <v>1.0044543356358424</v>
      </c>
    </row>
    <row r="8" spans="1:7">
      <c r="A8" t="s">
        <v>26</v>
      </c>
      <c r="B8" s="2"/>
      <c r="D8" s="5">
        <v>0.03</v>
      </c>
      <c r="F8" t="s">
        <v>38</v>
      </c>
      <c r="G8" s="8">
        <f>EXP((D6-D8)*G6)</f>
        <v>1.0027816393771962</v>
      </c>
    </row>
    <row r="9" spans="1:7">
      <c r="B9" s="4"/>
      <c r="F9" t="s">
        <v>30</v>
      </c>
      <c r="G9" s="8">
        <f>EXP(D13*SQRT(G6))</f>
        <v>1.0482692303335082</v>
      </c>
    </row>
    <row r="10" spans="1:7">
      <c r="A10" t="s">
        <v>21</v>
      </c>
      <c r="D10" s="2">
        <v>0</v>
      </c>
      <c r="F10" t="s">
        <v>31</v>
      </c>
      <c r="G10" s="8">
        <f>EXP(-D13*SQRT(G6))</f>
        <v>0.9539534034418321</v>
      </c>
    </row>
    <row r="11" spans="1:7">
      <c r="A11" t="s">
        <v>22</v>
      </c>
      <c r="D11">
        <v>0.5</v>
      </c>
      <c r="F11" t="s">
        <v>4</v>
      </c>
      <c r="G11" s="8">
        <f>(G8-G10)/(G9-G10)</f>
        <v>0.51770988544101393</v>
      </c>
    </row>
    <row r="12" spans="1:7">
      <c r="A12" t="s">
        <v>23</v>
      </c>
      <c r="D12" s="2">
        <f>D11-D10</f>
        <v>0.5</v>
      </c>
      <c r="F12" t="s">
        <v>32</v>
      </c>
      <c r="G12" s="8">
        <f>1-G11</f>
        <v>0.48229011455898607</v>
      </c>
    </row>
    <row r="13" spans="1:7">
      <c r="A13" t="s">
        <v>24</v>
      </c>
      <c r="B13" s="2"/>
      <c r="D13" s="5">
        <v>0.2</v>
      </c>
      <c r="G13" s="8"/>
    </row>
    <row r="14" spans="1:7">
      <c r="D14" s="5"/>
    </row>
    <row r="15" spans="1:7">
      <c r="A15" t="s">
        <v>10</v>
      </c>
      <c r="D15" s="2">
        <v>9</v>
      </c>
      <c r="F15" t="s">
        <v>33</v>
      </c>
      <c r="G15">
        <f>binoptionValue(0,1,1,D4,D5,D6,D8,D12,D13,D15)</f>
        <v>9.7452955981893012</v>
      </c>
    </row>
    <row r="16" spans="1:7">
      <c r="A16" t="s">
        <v>11</v>
      </c>
      <c r="D16" s="2">
        <v>1</v>
      </c>
      <c r="F16" t="s">
        <v>39</v>
      </c>
      <c r="G16">
        <f>binoptionValue(1,1,1,D4,D5,D6,D8,D12,D13,D15)</f>
        <v>9.6332371978806002</v>
      </c>
    </row>
    <row r="17" spans="1:11">
      <c r="A17" t="s">
        <v>12</v>
      </c>
      <c r="D17" s="6" t="s">
        <v>13</v>
      </c>
      <c r="F17" t="s">
        <v>34</v>
      </c>
      <c r="G17">
        <f>BSOptionValue(D16,D4,D5,D6,D8,D12,D13)</f>
        <v>9.7257564152682718</v>
      </c>
    </row>
    <row r="19" spans="1:11">
      <c r="A19" t="s">
        <v>36</v>
      </c>
    </row>
    <row r="20" spans="1:11">
      <c r="B20">
        <v>0</v>
      </c>
      <c r="C20">
        <v>1</v>
      </c>
      <c r="D20">
        <v>2</v>
      </c>
      <c r="E20">
        <v>3</v>
      </c>
      <c r="F20">
        <v>4</v>
      </c>
      <c r="G20">
        <v>5</v>
      </c>
      <c r="H20">
        <v>6</v>
      </c>
      <c r="I20">
        <v>7</v>
      </c>
      <c r="J20">
        <v>8</v>
      </c>
      <c r="K20">
        <v>9</v>
      </c>
    </row>
    <row r="21" spans="1:11">
      <c r="A21">
        <v>0</v>
      </c>
      <c r="B21">
        <f t="array" ref="B21:K30">Bintree_upstraight(1,D4,D6,D8,D12,D13,D15)</f>
        <v>100</v>
      </c>
      <c r="C21">
        <v>104.82692303335082</v>
      </c>
      <c r="D21">
        <v>109.88683792640056</v>
      </c>
      <c r="E21">
        <v>115.19099101689086</v>
      </c>
      <c r="F21">
        <v>120.75117149463024</v>
      </c>
      <c r="G21">
        <v>126.5797376045455</v>
      </c>
      <c r="H21">
        <v>132.68964411453433</v>
      </c>
      <c r="I21">
        <v>139.09447110917</v>
      </c>
      <c r="J21">
        <v>145.80845417325602</v>
      </c>
      <c r="K21">
        <v>152.84651603231768</v>
      </c>
    </row>
    <row r="22" spans="1:11">
      <c r="A22">
        <v>1</v>
      </c>
      <c r="B22" t="str">
        <v/>
      </c>
      <c r="C22">
        <v>95.395340344183225</v>
      </c>
      <c r="D22">
        <v>100.00000000000001</v>
      </c>
      <c r="E22">
        <v>104.82692303335084</v>
      </c>
      <c r="F22">
        <v>109.88683792640059</v>
      </c>
      <c r="G22">
        <v>115.19099101689091</v>
      </c>
      <c r="H22">
        <v>120.75117149463028</v>
      </c>
      <c r="I22">
        <v>126.57973760454554</v>
      </c>
      <c r="J22">
        <v>132.68964411453439</v>
      </c>
      <c r="K22">
        <v>139.09447110917009</v>
      </c>
    </row>
    <row r="23" spans="1:11">
      <c r="A23">
        <v>2</v>
      </c>
      <c r="B23" t="str">
        <v/>
      </c>
      <c r="C23" t="str">
        <v/>
      </c>
      <c r="D23">
        <v>91.002709593825514</v>
      </c>
      <c r="E23">
        <v>95.395340344183225</v>
      </c>
      <c r="F23">
        <v>100.00000000000001</v>
      </c>
      <c r="G23">
        <v>104.82692303335084</v>
      </c>
      <c r="H23">
        <v>109.88683792640059</v>
      </c>
      <c r="I23">
        <v>115.19099101689091</v>
      </c>
      <c r="J23">
        <v>120.75117149463028</v>
      </c>
      <c r="K23">
        <v>126.57973760454554</v>
      </c>
    </row>
    <row r="24" spans="1:11">
      <c r="A24">
        <v>3</v>
      </c>
      <c r="B24" t="str">
        <v/>
      </c>
      <c r="C24" t="str">
        <v/>
      </c>
      <c r="D24" t="str">
        <v/>
      </c>
      <c r="E24">
        <v>86.812344539458522</v>
      </c>
      <c r="F24">
        <v>91.002709593825514</v>
      </c>
      <c r="G24">
        <v>95.395340344183225</v>
      </c>
      <c r="H24">
        <v>100.00000000000001</v>
      </c>
      <c r="I24">
        <v>104.82692303335084</v>
      </c>
      <c r="J24">
        <v>109.88683792640059</v>
      </c>
      <c r="K24">
        <v>115.19099101689091</v>
      </c>
    </row>
    <row r="25" spans="1:11">
      <c r="A25">
        <v>4</v>
      </c>
      <c r="B25" t="str">
        <v/>
      </c>
      <c r="C25" t="str">
        <v/>
      </c>
      <c r="D25" t="str">
        <v/>
      </c>
      <c r="E25" t="str">
        <v/>
      </c>
      <c r="F25">
        <v>82.814931534181412</v>
      </c>
      <c r="G25">
        <v>86.812344539458522</v>
      </c>
      <c r="H25">
        <v>91.002709593825514</v>
      </c>
      <c r="I25">
        <v>95.395340344183225</v>
      </c>
      <c r="J25">
        <v>100.00000000000001</v>
      </c>
      <c r="K25">
        <v>104.82692303335084</v>
      </c>
    </row>
    <row r="26" spans="1:11">
      <c r="A26">
        <v>5</v>
      </c>
      <c r="B26" t="str">
        <v/>
      </c>
      <c r="C26" t="str">
        <v/>
      </c>
      <c r="D26" t="str">
        <v/>
      </c>
      <c r="E26" t="str">
        <v/>
      </c>
      <c r="F26" t="str">
        <v/>
      </c>
      <c r="G26">
        <v>79.001585792834675</v>
      </c>
      <c r="H26">
        <v>82.814931534181412</v>
      </c>
      <c r="I26">
        <v>86.812344539458522</v>
      </c>
      <c r="J26">
        <v>91.002709593825514</v>
      </c>
      <c r="K26">
        <v>95.395340344183225</v>
      </c>
    </row>
    <row r="27" spans="1:11">
      <c r="A27">
        <v>6</v>
      </c>
      <c r="B27" t="str">
        <v/>
      </c>
      <c r="C27" t="str">
        <v/>
      </c>
      <c r="D27" t="str">
        <v/>
      </c>
      <c r="E27" t="str">
        <v/>
      </c>
      <c r="F27" t="str">
        <v/>
      </c>
      <c r="G27" t="str">
        <v/>
      </c>
      <c r="H27">
        <v>75.363831644376532</v>
      </c>
      <c r="I27">
        <v>79.001585792834675</v>
      </c>
      <c r="J27">
        <v>82.814931534181412</v>
      </c>
      <c r="K27">
        <v>86.812344539458522</v>
      </c>
    </row>
    <row r="28" spans="1:11">
      <c r="A28">
        <v>7</v>
      </c>
      <c r="B28" t="str">
        <v/>
      </c>
      <c r="C28" t="str">
        <v/>
      </c>
      <c r="D28" t="str">
        <v/>
      </c>
      <c r="E28" t="str">
        <v/>
      </c>
      <c r="F28" t="str">
        <v/>
      </c>
      <c r="G28" t="str">
        <v/>
      </c>
      <c r="H28" t="str">
        <v/>
      </c>
      <c r="I28">
        <v>71.89358369357025</v>
      </c>
      <c r="J28">
        <v>75.363831644376532</v>
      </c>
      <c r="K28">
        <v>79.001585792834675</v>
      </c>
    </row>
    <row r="29" spans="1:11">
      <c r="A29">
        <v>8</v>
      </c>
      <c r="B29" t="str">
        <v/>
      </c>
      <c r="C29" t="str">
        <v/>
      </c>
      <c r="D29" t="str">
        <v/>
      </c>
      <c r="E29" t="str">
        <v/>
      </c>
      <c r="F29" t="str">
        <v/>
      </c>
      <c r="G29" t="str">
        <v/>
      </c>
      <c r="H29" t="str">
        <v/>
      </c>
      <c r="I29" t="str">
        <v/>
      </c>
      <c r="J29">
        <v>68.583128850111549</v>
      </c>
      <c r="K29">
        <v>71.89358369357025</v>
      </c>
    </row>
    <row r="30" spans="1:11">
      <c r="A30">
        <v>9</v>
      </c>
      <c r="B30" t="str">
        <v/>
      </c>
      <c r="C30" t="str">
        <v/>
      </c>
      <c r="D30" t="str">
        <v/>
      </c>
      <c r="E30" t="str">
        <v/>
      </c>
      <c r="F30" t="str">
        <v/>
      </c>
      <c r="G30" t="str">
        <v/>
      </c>
      <c r="H30" t="str">
        <v/>
      </c>
      <c r="I30" t="str">
        <v/>
      </c>
      <c r="J30" t="str">
        <v/>
      </c>
      <c r="K30">
        <v>65.425109185253632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oHome">
                <anchor moveWithCells="1" sizeWithCells="1">
                  <from>
                    <xdr:col>10</xdr:col>
                    <xdr:colOff>106680</xdr:colOff>
                    <xdr:row>4</xdr:row>
                    <xdr:rowOff>167640</xdr:rowOff>
                  </from>
                  <to>
                    <xdr:col>12</xdr:col>
                    <xdr:colOff>304800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9"/>
  <dimension ref="A1:I17"/>
  <sheetViews>
    <sheetView workbookViewId="0">
      <selection activeCell="L11" sqref="L11"/>
    </sheetView>
  </sheetViews>
  <sheetFormatPr defaultRowHeight="16.2"/>
  <cols>
    <col min="1" max="1" width="22.33203125" bestFit="1" customWidth="1"/>
    <col min="11" max="11" width="9.6640625" bestFit="1" customWidth="1"/>
  </cols>
  <sheetData>
    <row r="1" spans="1:9">
      <c r="A1" t="s">
        <v>41</v>
      </c>
    </row>
    <row r="2" spans="1:9">
      <c r="A2" t="s">
        <v>16</v>
      </c>
    </row>
    <row r="4" spans="1:9">
      <c r="A4" t="s">
        <v>17</v>
      </c>
      <c r="B4">
        <v>100</v>
      </c>
      <c r="D4" t="s">
        <v>10</v>
      </c>
      <c r="G4" s="2" t="s">
        <v>34</v>
      </c>
      <c r="H4">
        <f>BSOptionValue(B15,B4,B5,B6,B8,B12,B13)</f>
        <v>9.7257564152682718</v>
      </c>
    </row>
    <row r="5" spans="1:9">
      <c r="A5" t="s">
        <v>18</v>
      </c>
      <c r="B5">
        <v>95</v>
      </c>
      <c r="E5" s="2">
        <v>1000</v>
      </c>
      <c r="G5" s="2" t="s">
        <v>42</v>
      </c>
      <c r="H5">
        <f>binoptionValue(1,1,1,B4,B5,B6,B8,B12,B13,E5)</f>
        <v>9.726371716236633</v>
      </c>
    </row>
    <row r="6" spans="1:9">
      <c r="A6" t="s">
        <v>19</v>
      </c>
      <c r="B6" s="5">
        <v>0.08</v>
      </c>
      <c r="F6" s="7"/>
      <c r="G6" s="8" t="s">
        <v>43</v>
      </c>
      <c r="H6">
        <f>binoptionValue(2,1,1,B4,B5,B6,B8,B12,B13,E5)</f>
        <v>9.7257562631588215</v>
      </c>
    </row>
    <row r="7" spans="1:9">
      <c r="G7" s="8" t="s">
        <v>49</v>
      </c>
      <c r="H7">
        <f>binoptionValue(0,1,1,B4,B5,B6,B8,B12,B13,E5)</f>
        <v>9.7267647015337158</v>
      </c>
    </row>
    <row r="8" spans="1:9">
      <c r="A8" t="s">
        <v>26</v>
      </c>
      <c r="B8" s="5">
        <v>0.03</v>
      </c>
      <c r="G8" s="8"/>
    </row>
    <row r="9" spans="1:9">
      <c r="E9" t="s">
        <v>44</v>
      </c>
      <c r="F9" t="s">
        <v>45</v>
      </c>
      <c r="G9" s="8" t="s">
        <v>46</v>
      </c>
      <c r="H9" t="s">
        <v>47</v>
      </c>
      <c r="I9" t="s">
        <v>48</v>
      </c>
    </row>
    <row r="10" spans="1:9">
      <c r="A10" t="s">
        <v>21</v>
      </c>
      <c r="B10" s="2">
        <v>0</v>
      </c>
      <c r="E10">
        <v>16</v>
      </c>
      <c r="F10">
        <f>BSOptionValue(B15,B4,B5,B6,B8,B12,B13)</f>
        <v>9.7257564152682718</v>
      </c>
      <c r="G10" s="8">
        <f>binoptionValue(1,1,1,$B$4,$B$5,$B$6,$B$8,$B$12,$B$13,E10)</f>
        <v>9.7709292801831165</v>
      </c>
      <c r="H10">
        <f>binoptionValue(2,1,1,$B$4,$B$5,$B$6,$B$8,$B$12,$B$13,E10)</f>
        <v>9.7252791052341365</v>
      </c>
      <c r="I10">
        <f>binoptionValue(0,1,1,$B$4,$B$5,$B$6,$B$8,$B$12,$B$13,E10)</f>
        <v>9.6858673811634741</v>
      </c>
    </row>
    <row r="11" spans="1:9">
      <c r="A11" t="s">
        <v>22</v>
      </c>
      <c r="B11">
        <v>0.5</v>
      </c>
      <c r="E11">
        <v>32</v>
      </c>
      <c r="F11">
        <f>BSOptionValue(B15,B4,B5,B6,B8,B12,B13)</f>
        <v>9.7257564152682718</v>
      </c>
      <c r="G11" s="8">
        <f t="shared" ref="G11:G17" si="0">binoptionValue(1,1,1,$B$4,$B$5,$B$6,$B$8,$B$12,$B$13,E11)</f>
        <v>9.6954333191186883</v>
      </c>
      <c r="H11">
        <f t="shared" ref="H11:H17" si="1">binoptionValue(2,1,1,$B$4,$B$5,$B$6,$B$8,$B$12,$B$13,E11)</f>
        <v>9.7256236197275694</v>
      </c>
      <c r="I11">
        <f t="shared" ref="I11:I17" si="2">binoptionValue(0,1,1,$B$4,$B$5,$B$6,$B$8,$B$12,$B$13,E11)</f>
        <v>9.7496236343835889</v>
      </c>
    </row>
    <row r="12" spans="1:9">
      <c r="A12" t="s">
        <v>23</v>
      </c>
      <c r="B12" s="2">
        <f>B11-B10</f>
        <v>0.5</v>
      </c>
      <c r="E12">
        <v>48</v>
      </c>
      <c r="F12">
        <f>BSOptionValue(B15,B4,B5,B6,B8,B12,B13)</f>
        <v>9.7257564152682718</v>
      </c>
      <c r="G12" s="8">
        <f t="shared" si="0"/>
        <v>9.7366680290354211</v>
      </c>
      <c r="H12">
        <f t="shared" si="1"/>
        <v>9.725695135082141</v>
      </c>
      <c r="I12">
        <f t="shared" si="2"/>
        <v>9.7460348122646394</v>
      </c>
    </row>
    <row r="13" spans="1:9">
      <c r="A13" t="s">
        <v>24</v>
      </c>
      <c r="B13" s="5">
        <v>0.2</v>
      </c>
      <c r="E13">
        <v>64</v>
      </c>
      <c r="F13">
        <f>BSOptionValue(B15,B4,B5,B6,B8,B12,B13)</f>
        <v>9.7257564152682718</v>
      </c>
      <c r="G13" s="8">
        <f t="shared" si="0"/>
        <v>9.742689686043521</v>
      </c>
      <c r="H13">
        <f t="shared" si="1"/>
        <v>9.7257212777539124</v>
      </c>
      <c r="I13">
        <f t="shared" si="2"/>
        <v>9.7229519613661743</v>
      </c>
    </row>
    <row r="14" spans="1:9">
      <c r="B14" s="5"/>
      <c r="E14">
        <v>80</v>
      </c>
      <c r="F14">
        <f>BSOptionValue(B15,B4,B5,B6,B8,B12,B13)</f>
        <v>9.7257564152682718</v>
      </c>
      <c r="G14" s="8">
        <f t="shared" si="0"/>
        <v>9.7382483432089799</v>
      </c>
      <c r="H14">
        <f t="shared" si="1"/>
        <v>9.7257336641002183</v>
      </c>
      <c r="I14">
        <f t="shared" si="2"/>
        <v>9.7202002741652649</v>
      </c>
    </row>
    <row r="15" spans="1:9">
      <c r="A15" t="s">
        <v>11</v>
      </c>
      <c r="B15" s="2">
        <v>1</v>
      </c>
      <c r="E15">
        <v>96</v>
      </c>
      <c r="F15">
        <f>BSOptionValue(B15,B4,B5,B6,B8,B12,B13)</f>
        <v>9.7257564152682718</v>
      </c>
      <c r="G15" s="8">
        <f t="shared" si="0"/>
        <v>9.7303384607986221</v>
      </c>
      <c r="H15">
        <f t="shared" si="1"/>
        <v>9.7257404919635562</v>
      </c>
      <c r="I15">
        <f t="shared" si="2"/>
        <v>9.7327823655046881</v>
      </c>
    </row>
    <row r="16" spans="1:9">
      <c r="E16">
        <v>112</v>
      </c>
      <c r="F16">
        <f>BSOptionValue(B15,B4,B5,B6,B8,B12,B13)</f>
        <v>9.7257564152682718</v>
      </c>
      <c r="G16" s="8">
        <f t="shared" si="0"/>
        <v>9.7214037771644009</v>
      </c>
      <c r="H16">
        <f t="shared" si="1"/>
        <v>9.7257446507508476</v>
      </c>
      <c r="I16">
        <f t="shared" si="2"/>
        <v>9.7353929266757842</v>
      </c>
    </row>
    <row r="17" spans="1:9">
      <c r="A17" t="s">
        <v>12</v>
      </c>
      <c r="B17" s="6" t="s">
        <v>13</v>
      </c>
      <c r="E17">
        <v>128</v>
      </c>
      <c r="F17">
        <f>BSOptionValue(B15,B4,B5,B6,B8,B12,B13)</f>
        <v>9.7257564152682718</v>
      </c>
      <c r="G17" s="8">
        <f t="shared" si="0"/>
        <v>9.7198796085700696</v>
      </c>
      <c r="H17">
        <f t="shared" si="1"/>
        <v>9.7257473699770589</v>
      </c>
      <c r="I17">
        <f t="shared" si="2"/>
        <v>9.7327334987331326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1">
          <controlPr defaultSize="0" autoLine="0" r:id="rId4">
            <anchor moveWithCells="1">
              <from>
                <xdr:col>9</xdr:col>
                <xdr:colOff>7620</xdr:colOff>
                <xdr:row>5</xdr:row>
                <xdr:rowOff>190500</xdr:rowOff>
              </from>
              <to>
                <xdr:col>10</xdr:col>
                <xdr:colOff>655320</xdr:colOff>
                <xdr:row>7</xdr:row>
                <xdr:rowOff>175260</xdr:rowOff>
              </to>
            </anchor>
          </controlPr>
        </control>
      </mc:Choice>
      <mc:Fallback>
        <control shapeId="12290" r:id="rId3" name="CommandButton1"/>
      </mc:Fallback>
    </mc:AlternateContent>
    <mc:AlternateContent xmlns:mc="http://schemas.openxmlformats.org/markup-compatibility/2006">
      <mc:Choice Requires="x14">
        <control shapeId="12289" r:id="rId5" name="Button 1">
          <controlPr defaultSize="0" print="0" autoFill="0" autoPict="0" macro="[0]!GoHome">
            <anchor moveWithCells="1" sizeWithCells="1">
              <from>
                <xdr:col>9</xdr:col>
                <xdr:colOff>15240</xdr:colOff>
                <xdr:row>3</xdr:row>
                <xdr:rowOff>7620</xdr:rowOff>
              </from>
              <to>
                <xdr:col>10</xdr:col>
                <xdr:colOff>655320</xdr:colOff>
                <xdr:row>5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9</vt:i4>
      </vt:variant>
      <vt:variant>
        <vt:lpstr>圖表</vt:lpstr>
      </vt:variant>
      <vt:variant>
        <vt:i4>1</vt:i4>
      </vt:variant>
      <vt:variant>
        <vt:lpstr>已命名的範圍</vt:lpstr>
      </vt:variant>
      <vt:variant>
        <vt:i4>5</vt:i4>
      </vt:variant>
    </vt:vector>
  </HeadingPairs>
  <TitlesOfParts>
    <vt:vector size="15" baseType="lpstr">
      <vt:lpstr>Home</vt:lpstr>
      <vt:lpstr>Simplified</vt:lpstr>
      <vt:lpstr>Simplified_Sub</vt:lpstr>
      <vt:lpstr>JR_Tree</vt:lpstr>
      <vt:lpstr>JR_Tree_fn</vt:lpstr>
      <vt:lpstr>JR_Tree_sub</vt:lpstr>
      <vt:lpstr>oil</vt:lpstr>
      <vt:lpstr>CCR_Tree_fn</vt:lpstr>
      <vt:lpstr>Convergence of CCR</vt:lpstr>
      <vt:lpstr>Compare</vt:lpstr>
      <vt:lpstr>JRp0</vt:lpstr>
      <vt:lpstr>JRstep</vt:lpstr>
      <vt:lpstr>n</vt:lpstr>
      <vt:lpstr>p0</vt:lpstr>
      <vt:lpstr>u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Kyle Lee</cp:lastModifiedBy>
  <dcterms:created xsi:type="dcterms:W3CDTF">2017-03-18T14:52:41Z</dcterms:created>
  <dcterms:modified xsi:type="dcterms:W3CDTF">2017-04-03T14:21:28Z</dcterms:modified>
</cp:coreProperties>
</file>