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le1\Downloads\"/>
    </mc:Choice>
  </mc:AlternateContent>
  <xr:revisionPtr revIDLastSave="0" documentId="13_ncr:1_{BD1E2697-CC2F-436F-89E0-41CABA75200D}" xr6:coauthVersionLast="34" xr6:coauthVersionMax="34" xr10:uidLastSave="{00000000-0000-0000-0000-000000000000}"/>
  <bookViews>
    <workbookView xWindow="0" yWindow="0" windowWidth="20520" windowHeight="9465" xr2:uid="{00000000-000D-0000-FFFF-FFFF00000000}"/>
  </bookViews>
  <sheets>
    <sheet name="工作表1" sheetId="1" r:id="rId1"/>
  </sheets>
  <functionGroups builtInGroupCount="19"/>
  <definedNames>
    <definedName name="k">工作表1!$B$3</definedName>
    <definedName name="s">工作表1!$B$3</definedName>
    <definedName name="stock">工作表1!$B$2</definedName>
    <definedName name="v">工作表1!$B$4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<sst xmlns="http://schemas.openxmlformats.org/spreadsheetml/2006/main" count="11" uniqueCount="11">
  <si>
    <t>BS</t>
    <phoneticPr fontId="1" type="noConversion"/>
  </si>
  <si>
    <t>BS_2 fn</t>
    <phoneticPr fontId="1" type="noConversion"/>
  </si>
  <si>
    <t>S(stock price)</t>
  </si>
  <si>
    <t>K(Exercise)</t>
  </si>
  <si>
    <t>r(interest rate)</t>
  </si>
  <si>
    <t>T(Time to maturity)</t>
  </si>
  <si>
    <t>v(volatility)</t>
  </si>
  <si>
    <t>d(dividend yield)</t>
  </si>
  <si>
    <t>(using function)</t>
  </si>
  <si>
    <t>(using button)</t>
  </si>
  <si>
    <t>Function to calculate black scholes from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</si>
</sst>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0" fontId="3" fillId="2" borderId="1" applyNumberFormat="0" applyAlignment="0" applyProtection="0"/>
    <xf numFmtId="0" fontId="4" fillId="3" borderId="2" applyNumberFormat="0" applyAlignment="0" applyProtection="0"/>
  </cellStyleXfs>
  <cellXfs count="4">
    <xf numFmtId="0" fontId="0" fillId="0" borderId="0" xfId="0">
      <alignment vertical="center"/>
    </xf>
    <xf numFmtId="0" fontId="3" fillId="2" borderId="1" xfId="1" applyAlignment="1">
      <alignment vertical="center"/>
    </xf>
    <xf numFmtId="0" fontId="4" fillId="3" borderId="2" xfId="2" applyAlignment="1">
      <alignment vertical="center"/>
    </xf>
    <xf numFmtId="0" fontId="5" fillId="0" borderId="0" xfId="0" applyFont="1" applyAlignment="1">
      <alignment horizontal="center" vertic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347663</xdr:colOff>
          <xdr:row>4</xdr:row>
          <xdr:rowOff>61913</xdr:rowOff>
        </xdr:from>
        <xdr:to>
          <xdr:col>7</xdr:col>
          <xdr:colOff>533400</xdr:colOff>
          <xdr:row>6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計算Black Scholes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7"/>
  <sheetViews>
    <sheetView tabSelected="1" workbookViewId="0">
      <selection activeCell="D7" sqref="D7"/>
    </sheetView>
  </sheetViews>
  <sheetFormatPr defaultRowHeight="15.75"/>
  <cols>
    <col min="1" max="1" width="16.125" customWidth="1"/>
    <col min="3" max="3" width="13.625" bestFit="1" customWidth="1"/>
    <col min="4" max="4" width="12.5" customWidth="1"/>
  </cols>
  <sheetData>
    <row r="1" spans="1:4" ht="18">
      <c r="A1" s="3" t="s">
        <v>10</v>
      </c>
      <c r="B1" s="3"/>
      <c r="C1" s="3"/>
      <c r="D1" s="3"/>
    </row>
    <row r="2" spans="1:4">
      <c r="A2" t="s">
        <v>2</v>
      </c>
      <c r="B2" s="1">
        <v>50</v>
      </c>
      <c r="C2" t="s">
        <v>0</v>
      </c>
      <c r="D2" s="2">
        <v>10.700874175211844</v>
      </c>
    </row>
    <row r="3" spans="1:4">
      <c r="A3" t="s">
        <v>3</v>
      </c>
      <c r="B3" s="1">
        <v>40</v>
      </c>
      <c r="C3" t="s">
        <v>9</v>
      </c>
    </row>
    <row r="4" spans="1:4">
      <c r="A4" t="s">
        <v>6</v>
      </c>
      <c r="B4" s="1">
        <v>0.3</v>
      </c>
    </row>
    <row r="5" spans="1:4">
      <c r="A5" t="s">
        <v>4</v>
      </c>
      <c r="B5" s="1">
        <v>0.08</v>
      </c>
    </row>
    <row r="6" spans="1:4">
      <c r="A6" t="s">
        <v>5</v>
      </c>
      <c r="B6" s="1">
        <v>0.25</v>
      </c>
      <c r="C6" t="s">
        <v>1</v>
      </c>
      <c r="D6" s="2">
        <f>BS(50,40,0.3,0.08,0.25,0.02)</f>
        <v>10.700874175211844</v>
      </c>
    </row>
    <row r="7" spans="1:4">
      <c r="A7" t="s">
        <v>7</v>
      </c>
      <c r="B7" s="1">
        <v>0.02</v>
      </c>
      <c r="C7" t="s">
        <v>8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lack_Scholes">
                <anchor moveWithCells="1" sizeWithCells="1">
                  <from>
                    <xdr:col>4</xdr:col>
                    <xdr:colOff>347663</xdr:colOff>
                    <xdr:row>4</xdr:row>
                    <xdr:rowOff>61913</xdr:rowOff>
                  </from>
                  <to>
                    <xdr:col>7</xdr:col>
                    <xdr:colOff>533400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工作表1</vt:lpstr>
      <vt:lpstr>k</vt:lpstr>
      <vt:lpstr>s</vt:lpstr>
      <vt:lpstr>stock</vt:lpstr>
      <vt:lpstr>v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Kyle Lee</cp:lastModifiedBy>
  <dcterms:created xsi:type="dcterms:W3CDTF">2017-02-27T13:21:59Z</dcterms:created>
  <dcterms:modified xsi:type="dcterms:W3CDTF">2018-08-21T06:59:09Z</dcterms:modified>
</cp:coreProperties>
</file>