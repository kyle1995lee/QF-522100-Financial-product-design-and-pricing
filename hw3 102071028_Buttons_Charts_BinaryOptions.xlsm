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8.xml" ContentType="application/vnd.ms-office.activeX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6990" firstSheet="1" activeTab="1"/>
  </bookViews>
  <sheets>
    <sheet name="UserForm" sheetId="1" r:id="rId1"/>
    <sheet name="Home" sheetId="2" r:id="rId2"/>
    <sheet name="Excel" sheetId="3" r:id="rId3"/>
    <sheet name="Vba_Function" sheetId="4" r:id="rId4"/>
    <sheet name="Vba_Sub" sheetId="5" r:id="rId5"/>
    <sheet name="Chart" sheetId="6" r:id="rId6"/>
    <sheet name="Chart_Table" sheetId="7" r:id="rId7"/>
    <sheet name="Chart_Sub" sheetId="8" r:id="rId8"/>
    <sheet name="Binary_Option" sheetId="18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8" l="1"/>
  <c r="B12" i="18"/>
  <c r="B11" i="8"/>
  <c r="D15" i="18"/>
  <c r="B11" i="7" l="1"/>
  <c r="B11" i="6"/>
  <c r="B11" i="5"/>
  <c r="B11" i="4"/>
  <c r="H5" i="3"/>
  <c r="E5" i="3"/>
  <c r="E16" i="3"/>
  <c r="E15" i="3"/>
  <c r="E10" i="3"/>
  <c r="E11" i="3"/>
  <c r="B16" i="3"/>
  <c r="B15" i="3"/>
  <c r="B11" i="3"/>
  <c r="B14" i="3"/>
  <c r="H8" i="4"/>
  <c r="I19" i="6"/>
  <c r="I24" i="6"/>
  <c r="H22" i="6"/>
  <c r="H19" i="6"/>
  <c r="H17" i="6"/>
  <c r="G21" i="6"/>
  <c r="G26" i="6"/>
  <c r="F22" i="6"/>
  <c r="F25" i="6"/>
  <c r="F17" i="6"/>
  <c r="E8" i="4"/>
  <c r="H25" i="6"/>
  <c r="G22" i="6"/>
  <c r="F21" i="6"/>
  <c r="I18" i="6"/>
  <c r="I23" i="6"/>
  <c r="I21" i="6"/>
  <c r="H26" i="6"/>
  <c r="H23" i="6"/>
  <c r="G17" i="6"/>
  <c r="G25" i="6"/>
  <c r="G19" i="6"/>
  <c r="F26" i="6"/>
  <c r="F20" i="6"/>
  <c r="E8" i="6"/>
  <c r="I20" i="6"/>
  <c r="H21" i="6"/>
  <c r="F18" i="6"/>
  <c r="E8" i="7"/>
  <c r="I22" i="6"/>
  <c r="I25" i="6"/>
  <c r="I17" i="6"/>
  <c r="H24" i="6"/>
  <c r="H20" i="6"/>
  <c r="G20" i="6"/>
  <c r="G18" i="6"/>
  <c r="G23" i="6"/>
  <c r="F19" i="6"/>
  <c r="F24" i="6"/>
  <c r="I26" i="6"/>
  <c r="H18" i="6"/>
  <c r="G24" i="6"/>
  <c r="F23" i="6"/>
  <c r="J2" i="7" l="1"/>
</calcChain>
</file>

<file path=xl/sharedStrings.xml><?xml version="1.0" encoding="utf-8"?>
<sst xmlns="http://schemas.openxmlformats.org/spreadsheetml/2006/main" count="113" uniqueCount="39">
  <si>
    <t>Option2.XLS</t>
    <phoneticPr fontId="1" type="noConversion"/>
  </si>
  <si>
    <t>Black-Scholes Formulas(extended to allow for continuous dividends)</t>
    <phoneticPr fontId="1" type="noConversion"/>
  </si>
  <si>
    <t>Share price(S)</t>
    <phoneticPr fontId="1" type="noConversion"/>
  </si>
  <si>
    <t>Exercise price(X)</t>
    <phoneticPr fontId="1" type="noConversion"/>
  </si>
  <si>
    <t>Dividend yield(q)</t>
    <phoneticPr fontId="1" type="noConversion"/>
  </si>
  <si>
    <t>Int rate-cont(r)</t>
    <phoneticPr fontId="1" type="noConversion"/>
  </si>
  <si>
    <t>Time maturity(T, years)</t>
    <phoneticPr fontId="1" type="noConversion"/>
  </si>
  <si>
    <t>Time now(0, years)</t>
    <phoneticPr fontId="1" type="noConversion"/>
  </si>
  <si>
    <t>Option life(T, years)</t>
    <phoneticPr fontId="1" type="noConversion"/>
  </si>
  <si>
    <t>Volatility</t>
    <phoneticPr fontId="1" type="noConversion"/>
  </si>
  <si>
    <t>r-q+0.5*σ^2</t>
    <phoneticPr fontId="1" type="noConversion"/>
  </si>
  <si>
    <t>Exp(-rT)</t>
    <phoneticPr fontId="1" type="noConversion"/>
  </si>
  <si>
    <t>Exp(-qT)</t>
    <phoneticPr fontId="1" type="noConversion"/>
  </si>
  <si>
    <t>BS value</t>
    <phoneticPr fontId="1" type="noConversion"/>
  </si>
  <si>
    <t>Call</t>
    <phoneticPr fontId="1" type="noConversion"/>
  </si>
  <si>
    <r>
      <t>d</t>
    </r>
    <r>
      <rPr>
        <sz val="9"/>
        <color theme="1"/>
        <rFont val="新細明體"/>
        <family val="1"/>
        <charset val="136"/>
        <scheme val="minor"/>
      </rPr>
      <t>1</t>
    </r>
    <phoneticPr fontId="1" type="noConversion"/>
  </si>
  <si>
    <r>
      <t>N(d</t>
    </r>
    <r>
      <rPr>
        <sz val="9"/>
        <color theme="1"/>
        <rFont val="新細明體"/>
        <family val="1"/>
        <charset val="136"/>
        <scheme val="minor"/>
      </rPr>
      <t>1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</si>
  <si>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r>
      <t>d</t>
    </r>
    <r>
      <rPr>
        <sz val="9"/>
        <color theme="1"/>
        <rFont val="新細明體"/>
        <family val="1"/>
        <charset val="136"/>
        <scheme val="minor"/>
      </rPr>
      <t>2</t>
    </r>
    <phoneticPr fontId="1" type="noConversion"/>
  </si>
  <si>
    <r>
      <t>N(d</t>
    </r>
    <r>
      <rPr>
        <sz val="9"/>
        <color theme="1"/>
        <rFont val="新細明體"/>
        <family val="1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</si>
  <si>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t>Put</t>
    <phoneticPr fontId="1" type="noConversion"/>
  </si>
  <si>
    <t>p=S*exp(-qT)*[N(d1)-1]-X*exp(-rT)*[N(d2)-1]</t>
    <phoneticPr fontId="1" type="noConversion"/>
  </si>
  <si>
    <t>Call</t>
    <phoneticPr fontId="1" type="noConversion"/>
  </si>
  <si>
    <t>Put</t>
    <phoneticPr fontId="1" type="noConversion"/>
  </si>
  <si>
    <t>iop</t>
    <phoneticPr fontId="1" type="noConversion"/>
  </si>
  <si>
    <t>Bsvalue via fn</t>
    <phoneticPr fontId="1" type="noConversion"/>
  </si>
  <si>
    <t>Option2.XLS</t>
    <phoneticPr fontId="1" type="noConversion"/>
  </si>
  <si>
    <t>Put</t>
    <phoneticPr fontId="1" type="noConversion"/>
  </si>
  <si>
    <t>T=0</t>
    <phoneticPr fontId="1" type="noConversion"/>
  </si>
  <si>
    <t>T=1</t>
    <phoneticPr fontId="1" type="noConversion"/>
  </si>
  <si>
    <t>T=2</t>
    <phoneticPr fontId="1" type="noConversion"/>
  </si>
  <si>
    <t>T=3</t>
    <phoneticPr fontId="1" type="noConversion"/>
  </si>
  <si>
    <t>S</t>
    <phoneticPr fontId="1" type="noConversion"/>
  </si>
  <si>
    <t>The Black Scholes Formula</t>
    <phoneticPr fontId="1" type="noConversion"/>
  </si>
  <si>
    <t>S</t>
    <phoneticPr fontId="1" type="noConversion"/>
  </si>
  <si>
    <t>T=1</t>
    <phoneticPr fontId="1" type="noConversion"/>
  </si>
  <si>
    <t>T=3</t>
    <phoneticPr fontId="1" type="noConversion"/>
  </si>
  <si>
    <t>Option Price</t>
    <phoneticPr fontId="1" type="noConversion"/>
  </si>
  <si>
    <t>CashorNothing(iopt, S, X, K, r, q, tyr, sigma)</t>
  </si>
  <si>
    <t>Cash(K)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</si>
</sst>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0_ 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rgb="FF000000"/>
      <name val="新細明體"/>
      <family val="1"/>
      <charset val="136"/>
    </font>
    <font>
      <sz val="9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b/>
      <sz val="22"/>
      <color theme="1"/>
      <name val="Franklin Gothic Medium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Chart_Table!$F$16</c:f>
              <c:strCache>
                <c:ptCount val="1"/>
                <c:pt idx="0">
                  <c:v>T=0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Chart_Table!$F$17:$F$26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8.0038251909535063E-2</c:v>
                </c:pt>
                <c:pt idx="5">
                  <c:v>20.000439997339996</c:v>
                </c:pt>
                <c:pt idx="6">
                  <c:v>40.000379997430002</c:v>
                </c:pt>
                <c:pt idx="7">
                  <c:v>60.000319997519995</c:v>
                </c:pt>
                <c:pt idx="8">
                  <c:v>80.000259997609987</c:v>
                </c:pt>
                <c:pt idx="9">
                  <c:v>100.00019999769998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6-4A85-8CBE-D090F2759C4F}"/>
            </c:ext>
          </c:extLst>
        </c:ser>
        <c:ser>
          <c:idx val="2"/>
          <c:order val="1"/>
          <c:tx>
            <c:strRef>
              <c:f>Chart_Table!$G$16</c:f>
              <c:strCache>
                <c:ptCount val="1"/>
                <c:pt idx="0">
                  <c:v>T=1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Chart_Table!$G$17:$G$26</c:f>
              <c:numCache>
                <c:formatCode>General</c:formatCode>
                <c:ptCount val="10"/>
                <c:pt idx="0">
                  <c:v>3.3155305923200245E-15</c:v>
                </c:pt>
                <c:pt idx="1">
                  <c:v>1.8629284329904551E-5</c:v>
                </c:pt>
                <c:pt idx="2">
                  <c:v>5.2827881557825029E-2</c:v>
                </c:pt>
                <c:pt idx="3">
                  <c:v>1.8044654194282579</c:v>
                </c:pt>
                <c:pt idx="4">
                  <c:v>10.141722150602902</c:v>
                </c:pt>
                <c:pt idx="5">
                  <c:v>25.395631815452603</c:v>
                </c:pt>
                <c:pt idx="6">
                  <c:v>43.777389787252588</c:v>
                </c:pt>
                <c:pt idx="7">
                  <c:v>62.994553607197929</c:v>
                </c:pt>
                <c:pt idx="8">
                  <c:v>82.373441543525686</c:v>
                </c:pt>
                <c:pt idx="9">
                  <c:v>101.77811905193158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6-4A85-8CBE-D090F2759C4F}"/>
            </c:ext>
          </c:extLst>
        </c:ser>
        <c:ser>
          <c:idx val="3"/>
          <c:order val="2"/>
          <c:tx>
            <c:strRef>
              <c:f>Chart_Table!$H$16</c:f>
              <c:strCache>
                <c:ptCount val="1"/>
                <c:pt idx="0">
                  <c:v>T=2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Chart_Table!$H$17:$H$26</c:f>
              <c:numCache>
                <c:formatCode>General</c:formatCode>
                <c:ptCount val="10"/>
                <c:pt idx="0">
                  <c:v>9.3558045138828913E-8</c:v>
                </c:pt>
                <c:pt idx="1">
                  <c:v>9.0298719074419498E-3</c:v>
                </c:pt>
                <c:pt idx="2">
                  <c:v>0.63586540428069416</c:v>
                </c:pt>
                <c:pt idx="3">
                  <c:v>4.9271545893391675</c:v>
                </c:pt>
                <c:pt idx="4">
                  <c:v>15.187629185910417</c:v>
                </c:pt>
                <c:pt idx="5">
                  <c:v>30.103359463284974</c:v>
                </c:pt>
                <c:pt idx="6">
                  <c:v>47.422591343439692</c:v>
                </c:pt>
                <c:pt idx="7">
                  <c:v>65.727094367273509</c:v>
                </c:pt>
                <c:pt idx="8">
                  <c:v>84.386566608472961</c:v>
                </c:pt>
                <c:pt idx="9">
                  <c:v>103.16518961376872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6-4A85-8CBE-D090F2759C4F}"/>
            </c:ext>
          </c:extLst>
        </c:ser>
        <c:ser>
          <c:idx val="4"/>
          <c:order val="3"/>
          <c:tx>
            <c:strRef>
              <c:f>Chart_Table!$I$16</c:f>
              <c:strCache>
                <c:ptCount val="1"/>
                <c:pt idx="0">
                  <c:v>T=3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Chart_Table!$I$17:$I$26</c:f>
              <c:numCache>
                <c:formatCode>General</c:formatCode>
                <c:ptCount val="10"/>
                <c:pt idx="0">
                  <c:v>3.5265102658061016E-5</c:v>
                </c:pt>
                <c:pt idx="1">
                  <c:v>8.6652407615500304E-2</c:v>
                </c:pt>
                <c:pt idx="2">
                  <c:v>1.7332351251364511</c:v>
                </c:pt>
                <c:pt idx="3">
                  <c:v>7.8906095286137337</c:v>
                </c:pt>
                <c:pt idx="4">
                  <c:v>19.123426006722518</c:v>
                </c:pt>
                <c:pt idx="5">
                  <c:v>33.87675111728359</c:v>
                </c:pt>
                <c:pt idx="6">
                  <c:v>50.536493354313393</c:v>
                </c:pt>
                <c:pt idx="7">
                  <c:v>68.104172304375993</c:v>
                </c:pt>
                <c:pt idx="8">
                  <c:v>86.076694900714315</c:v>
                </c:pt>
                <c:pt idx="9">
                  <c:v>104.22415616931499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16-4A85-8CBE-D090F2759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2051568"/>
        <c:axId val="1702051984"/>
      </c:lineChart>
      <c:catAx>
        <c:axId val="17020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2051984"/>
        <c:crosses val="autoZero"/>
        <c:auto val="1"/>
        <c:lblAlgn val="ctr"/>
        <c:lblOffset val="100"/>
        <c:noMultiLvlLbl val="0"/>
      </c:catAx>
      <c:valAx>
        <c:axId val="17020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Payoff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20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Put</a:t>
            </a:r>
            <a:endParaRPr lang="zh-TW" alt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Chart_Sub!$D$18</c:f>
              <c:strCache>
                <c:ptCount val="1"/>
                <c:pt idx="0">
                  <c:v>T=0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Chart_Sub!$D$19:$D$28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8.0038251909535063E-2</c:v>
                </c:pt>
                <c:pt idx="5">
                  <c:v>20.000439997339996</c:v>
                </c:pt>
                <c:pt idx="6">
                  <c:v>40.000379997430002</c:v>
                </c:pt>
                <c:pt idx="7">
                  <c:v>60.000319997519995</c:v>
                </c:pt>
                <c:pt idx="8">
                  <c:v>80.000259997609987</c:v>
                </c:pt>
                <c:pt idx="9">
                  <c:v>100.00019999769998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BA-42C2-BEA9-36BC5448BF39}"/>
            </c:ext>
          </c:extLst>
        </c:ser>
        <c:ser>
          <c:idx val="2"/>
          <c:order val="1"/>
          <c:tx>
            <c:strRef>
              <c:f>Chart_Sub!$E$18</c:f>
              <c:strCache>
                <c:ptCount val="1"/>
                <c:pt idx="0">
                  <c:v>T=1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Chart_Sub!$E$19:$E$28</c:f>
              <c:numCache>
                <c:formatCode>General</c:formatCode>
                <c:ptCount val="10"/>
                <c:pt idx="0">
                  <c:v>3.3267564452880252E-15</c:v>
                </c:pt>
                <c:pt idx="1">
                  <c:v>1.8651438619552471E-5</c:v>
                </c:pt>
                <c:pt idx="2">
                  <c:v>5.285193640772512E-2</c:v>
                </c:pt>
                <c:pt idx="3">
                  <c:v>1.8047681539252345</c:v>
                </c:pt>
                <c:pt idx="4">
                  <c:v>10.142314159871773</c:v>
                </c:pt>
                <c:pt idx="5">
                  <c:v>25.396160243761429</c:v>
                </c:pt>
                <c:pt idx="6">
                  <c:v>43.777773294024541</c:v>
                </c:pt>
                <c:pt idx="7">
                  <c:v>62.994839494708998</c:v>
                </c:pt>
                <c:pt idx="8">
                  <c:v>82.3736586368113</c:v>
                </c:pt>
                <c:pt idx="9">
                  <c:v>101.77827573835302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A-42C2-BEA9-36BC5448BF39}"/>
            </c:ext>
          </c:extLst>
        </c:ser>
        <c:ser>
          <c:idx val="3"/>
          <c:order val="2"/>
          <c:tx>
            <c:strRef>
              <c:f>Chart_Sub!$F$18</c:f>
              <c:strCache>
                <c:ptCount val="1"/>
                <c:pt idx="0">
                  <c:v>T=2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Chart_Sub!$F$19:$F$28</c:f>
              <c:numCache>
                <c:formatCode>General</c:formatCode>
                <c:ptCount val="10"/>
                <c:pt idx="0">
                  <c:v>9.3640142741299911E-8</c:v>
                </c:pt>
                <c:pt idx="1">
                  <c:v>9.0328290306221221E-3</c:v>
                </c:pt>
                <c:pt idx="2">
                  <c:v>0.6359546262993776</c:v>
                </c:pt>
                <c:pt idx="3">
                  <c:v>4.9274635215284164</c:v>
                </c:pt>
                <c:pt idx="4">
                  <c:v>15.18806747997737</c:v>
                </c:pt>
                <c:pt idx="5">
                  <c:v>30.103778339126151</c:v>
                </c:pt>
                <c:pt idx="6">
                  <c:v>47.422930847060115</c:v>
                </c:pt>
                <c:pt idx="7">
                  <c:v>65.727351808535161</c:v>
                </c:pt>
                <c:pt idx="8">
                  <c:v>84.386752285118149</c:v>
                </c:pt>
                <c:pt idx="9">
                  <c:v>103.16531147574182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BA-42C2-BEA9-36BC5448BF39}"/>
            </c:ext>
          </c:extLst>
        </c:ser>
        <c:ser>
          <c:idx val="4"/>
          <c:order val="3"/>
          <c:tx>
            <c:strRef>
              <c:f>Chart_Sub!$G$18</c:f>
              <c:strCache>
                <c:ptCount val="1"/>
                <c:pt idx="0">
                  <c:v>T=3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Chart_Sub!$G$19:$G$28</c:f>
              <c:numCache>
                <c:formatCode>General</c:formatCode>
                <c:ptCount val="10"/>
                <c:pt idx="0">
                  <c:v>3.5279301036925407E-5</c:v>
                </c:pt>
                <c:pt idx="1">
                  <c:v>8.666603923899352E-2</c:v>
                </c:pt>
                <c:pt idx="2">
                  <c:v>1.7333606909059238</c:v>
                </c:pt>
                <c:pt idx="3">
                  <c:v>7.890891939290551</c:v>
                </c:pt>
                <c:pt idx="4">
                  <c:v>19.123780772926395</c:v>
                </c:pt>
                <c:pt idx="5">
                  <c:v>33.877090904176086</c:v>
                </c:pt>
                <c:pt idx="6">
                  <c:v>50.536777047893395</c:v>
                </c:pt>
                <c:pt idx="7">
                  <c:v>68.10438951399928</c:v>
                </c:pt>
                <c:pt idx="8">
                  <c:v>86.07684679117699</c:v>
                </c:pt>
                <c:pt idx="9">
                  <c:v>104.22424620329102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BA-42C2-BEA9-36BC544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937632"/>
        <c:axId val="483009360"/>
      </c:lineChart>
      <c:catAx>
        <c:axId val="83093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S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3009360"/>
        <c:crosses val="autoZero"/>
        <c:auto val="1"/>
        <c:lblAlgn val="ctr"/>
        <c:lblOffset val="100"/>
        <c:noMultiLvlLbl val="0"/>
      </c:catAx>
      <c:valAx>
        <c:axId val="483009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Payoff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3093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6</xdr:row>
          <xdr:rowOff>6350</xdr:rowOff>
        </xdr:from>
        <xdr:to>
          <xdr:col>9</xdr:col>
          <xdr:colOff>190500</xdr:colOff>
          <xdr:row>9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Black Scholes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4</xdr:row>
          <xdr:rowOff>6350</xdr:rowOff>
        </xdr:from>
        <xdr:to>
          <xdr:col>5</xdr:col>
          <xdr:colOff>266700</xdr:colOff>
          <xdr:row>5</xdr:row>
          <xdr:rowOff>203200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4</xdr:row>
          <xdr:rowOff>0</xdr:rowOff>
        </xdr:from>
        <xdr:to>
          <xdr:col>8</xdr:col>
          <xdr:colOff>279400</xdr:colOff>
          <xdr:row>5</xdr:row>
          <xdr:rowOff>203200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4</xdr:row>
          <xdr:rowOff>12700</xdr:rowOff>
        </xdr:from>
        <xdr:to>
          <xdr:col>11</xdr:col>
          <xdr:colOff>266700</xdr:colOff>
          <xdr:row>5</xdr:row>
          <xdr:rowOff>209550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7</xdr:row>
          <xdr:rowOff>12700</xdr:rowOff>
        </xdr:from>
        <xdr:to>
          <xdr:col>5</xdr:col>
          <xdr:colOff>266700</xdr:colOff>
          <xdr:row>8</xdr:row>
          <xdr:rowOff>209550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7</xdr:row>
          <xdr:rowOff>12700</xdr:rowOff>
        </xdr:from>
        <xdr:to>
          <xdr:col>8</xdr:col>
          <xdr:colOff>266700</xdr:colOff>
          <xdr:row>8</xdr:row>
          <xdr:rowOff>209550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7</xdr:row>
          <xdr:rowOff>12700</xdr:rowOff>
        </xdr:from>
        <xdr:to>
          <xdr:col>11</xdr:col>
          <xdr:colOff>279400</xdr:colOff>
          <xdr:row>8</xdr:row>
          <xdr:rowOff>209550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10</xdr:row>
          <xdr:rowOff>31750</xdr:rowOff>
        </xdr:from>
        <xdr:to>
          <xdr:col>5</xdr:col>
          <xdr:colOff>266700</xdr:colOff>
          <xdr:row>12</xdr:row>
          <xdr:rowOff>12700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0</xdr:rowOff>
        </xdr:from>
        <xdr:to>
          <xdr:col>10</xdr:col>
          <xdr:colOff>590550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19050</xdr:rowOff>
        </xdr:from>
        <xdr:to>
          <xdr:col>10</xdr:col>
          <xdr:colOff>577850</xdr:colOff>
          <xdr:row>6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6</xdr:row>
          <xdr:rowOff>152400</xdr:rowOff>
        </xdr:from>
        <xdr:to>
          <xdr:col>6</xdr:col>
          <xdr:colOff>533400</xdr:colOff>
          <xdr:row>8</xdr:row>
          <xdr:rowOff>158750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3</xdr:row>
          <xdr:rowOff>25400</xdr:rowOff>
        </xdr:from>
        <xdr:to>
          <xdr:col>10</xdr:col>
          <xdr:colOff>590550</xdr:colOff>
          <xdr:row>5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4</xdr:row>
          <xdr:rowOff>0</xdr:rowOff>
        </xdr:from>
        <xdr:to>
          <xdr:col>8</xdr:col>
          <xdr:colOff>495300</xdr:colOff>
          <xdr:row>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12700</xdr:rowOff>
        </xdr:from>
        <xdr:to>
          <xdr:col>4</xdr:col>
          <xdr:colOff>590550</xdr:colOff>
          <xdr:row>10</xdr:row>
          <xdr:rowOff>196850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396875</xdr:colOff>
      <xdr:row>0</xdr:row>
      <xdr:rowOff>76200</xdr:rowOff>
    </xdr:from>
    <xdr:to>
      <xdr:col>14</xdr:col>
      <xdr:colOff>34925</xdr:colOff>
      <xdr:row>13</xdr:row>
      <xdr:rowOff>12700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171450</xdr:rowOff>
        </xdr:from>
        <xdr:to>
          <xdr:col>5</xdr:col>
          <xdr:colOff>552450</xdr:colOff>
          <xdr:row>4</xdr:row>
          <xdr:rowOff>0</xdr:rowOff>
        </xdr:to>
        <xdr:sp macro="" textlink="">
          <xdr:nvSpPr>
            <xdr:cNvPr id="11265" name="Option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565150</xdr:colOff>
          <xdr:row>2</xdr:row>
          <xdr:rowOff>190500</xdr:rowOff>
        </xdr:from>
        <xdr:to>
          <xdr:col>7</xdr:col>
          <xdr:colOff>368300</xdr:colOff>
          <xdr:row>3</xdr:row>
          <xdr:rowOff>209550</xdr:rowOff>
        </xdr:to>
        <xdr:sp macro="" textlink="">
          <xdr:nvSpPr>
            <xdr:cNvPr id="11266" name="Option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425450</xdr:colOff>
      <xdr:row>12</xdr:row>
      <xdr:rowOff>95250</xdr:rowOff>
    </xdr:from>
    <xdr:to>
      <xdr:col>12</xdr:col>
      <xdr:colOff>120650</xdr:colOff>
      <xdr:row>25</xdr:row>
      <xdr:rowOff>31750</xdr:rowOff>
    </xdr:to>
    <xdr:graphicFrame macro="">
      <xdr:nvGraphicFramePr>
        <xdr:cNvPr id="8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25400</xdr:rowOff>
        </xdr:from>
        <xdr:to>
          <xdr:col>9</xdr:col>
          <xdr:colOff>393700</xdr:colOff>
          <xdr:row>3</xdr:row>
          <xdr:rowOff>209550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7</xdr:col>
          <xdr:colOff>450850</xdr:colOff>
          <xdr:row>4</xdr:row>
          <xdr:rowOff>57150</xdr:rowOff>
        </xdr:to>
        <xdr:sp macro="" textlink="">
          <xdr:nvSpPr>
            <xdr:cNvPr id="21505" name="Option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165100</xdr:rowOff>
        </xdr:from>
        <xdr:to>
          <xdr:col>7</xdr:col>
          <xdr:colOff>203200</xdr:colOff>
          <xdr:row>5</xdr:row>
          <xdr:rowOff>152400</xdr:rowOff>
        </xdr:to>
        <xdr:sp macro="" textlink="">
          <xdr:nvSpPr>
            <xdr:cNvPr id="21506" name="OptionButton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69850</xdr:rowOff>
        </xdr:from>
        <xdr:to>
          <xdr:col>7</xdr:col>
          <xdr:colOff>457200</xdr:colOff>
          <xdr:row>7</xdr:row>
          <xdr:rowOff>107950</xdr:rowOff>
        </xdr:to>
        <xdr:sp macro="" textlink="">
          <xdr:nvSpPr>
            <xdr:cNvPr id="21507" name="OptionButton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7</xdr:row>
          <xdr:rowOff>196850</xdr:rowOff>
        </xdr:from>
        <xdr:to>
          <xdr:col>7</xdr:col>
          <xdr:colOff>444500</xdr:colOff>
          <xdr:row>9</xdr:row>
          <xdr:rowOff>19050</xdr:rowOff>
        </xdr:to>
        <xdr:sp macro="" textlink="">
          <xdr:nvSpPr>
            <xdr:cNvPr id="21508" name="OptionButton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6350</xdr:rowOff>
        </xdr:from>
        <xdr:to>
          <xdr:col>10</xdr:col>
          <xdr:colOff>508000</xdr:colOff>
          <xdr:row>4</xdr:row>
          <xdr:rowOff>196850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7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2.emf"/><Relationship Id="rId11" Type="http://schemas.openxmlformats.org/officeDocument/2006/relationships/ctrlProp" Target="../ctrlProps/ctrlProp8.xml"/><Relationship Id="rId5" Type="http://schemas.openxmlformats.org/officeDocument/2006/relationships/control" Target="../activeX/activeX12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6"/>
  <sheetViews>
    <sheetView workbookViewId="0"/>
  </sheetViews>
  <sheetFormatPr defaultRowHeight="17" x14ac:dyDescent="0.4"/>
  <sheetData>
    <row r="1" spans="1:13" x14ac:dyDescent="0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x14ac:dyDescent="0.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4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 spans="1:13" x14ac:dyDescent="0.4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4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4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4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4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4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lack_scholes">
                <anchor moveWithCells="1" sizeWithCells="1">
                  <from>
                    <xdr:col>3</xdr:col>
                    <xdr:colOff>571500</xdr:colOff>
                    <xdr:row>6</xdr:row>
                    <xdr:rowOff>6350</xdr:rowOff>
                  </from>
                  <to>
                    <xdr:col>9</xdr:col>
                    <xdr:colOff>190500</xdr:colOff>
                    <xdr:row>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N17"/>
  <sheetViews>
    <sheetView tabSelected="1" workbookViewId="0">
      <selection activeCell="G13" sqref="G13"/>
    </sheetView>
  </sheetViews>
  <sheetFormatPr defaultRowHeight="17" x14ac:dyDescent="0.4"/>
  <sheetData>
    <row r="1" spans="1:14" x14ac:dyDescent="0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27" x14ac:dyDescent="0.4">
      <c r="A2" s="4"/>
      <c r="B2" s="4"/>
      <c r="C2" s="4"/>
      <c r="D2" s="4"/>
      <c r="E2" s="5" t="s">
        <v>32</v>
      </c>
      <c r="F2" s="4"/>
      <c r="G2" s="4"/>
      <c r="H2" s="4"/>
      <c r="I2" s="4"/>
      <c r="J2" s="4"/>
      <c r="K2" s="4"/>
      <c r="L2" s="4"/>
      <c r="M2" s="4"/>
      <c r="N2" s="4"/>
    </row>
    <row r="3" spans="1:14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1:14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4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 x14ac:dyDescent="0.4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</row>
    <row r="9" spans="1:14" x14ac:dyDescent="0.4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4" x14ac:dyDescent="0.4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4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14" x14ac:dyDescent="0.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r="14" spans="1:14" x14ac:dyDescent="0.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</row>
    <row r="15" spans="1:14" x14ac:dyDescent="0.4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</row>
    <row r="16" spans="1:14" x14ac:dyDescent="0.4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1:14" x14ac:dyDescent="0.4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CommandButton7">
          <controlPr defaultSize="0" autoLine="0" r:id="rId4">
            <anchor moveWithCells="1">
              <from>
                <xdr:col>3</xdr:col>
                <xdr:colOff>6350</xdr:colOff>
                <xdr:row>10</xdr:row>
                <xdr:rowOff>31750</xdr:rowOff>
              </from>
              <to>
                <xdr:col>5</xdr:col>
                <xdr:colOff>266700</xdr:colOff>
                <xdr:row>12</xdr:row>
                <xdr:rowOff>12700</xdr:rowOff>
              </to>
            </anchor>
          </controlPr>
        </control>
      </mc:Choice>
      <mc:Fallback>
        <control shapeId="2057" r:id="rId3" name="CommandButton7"/>
      </mc:Fallback>
    </mc:AlternateContent>
    <mc:AlternateContent xmlns:mc="http://schemas.openxmlformats.org/markup-compatibility/2006">
      <mc:Choice Requires="x14">
        <control shapeId="2056" r:id="rId5" name="CommandButton6">
          <controlPr defaultSize="0" autoLine="0" r:id="rId6">
            <anchor moveWithCells="1">
              <from>
                <xdr:col>9</xdr:col>
                <xdr:colOff>19050</xdr:colOff>
                <xdr:row>7</xdr:row>
                <xdr:rowOff>12700</xdr:rowOff>
              </from>
              <to>
                <xdr:col>11</xdr:col>
                <xdr:colOff>279400</xdr:colOff>
                <xdr:row>8</xdr:row>
                <xdr:rowOff>209550</xdr:rowOff>
              </to>
            </anchor>
          </controlPr>
        </control>
      </mc:Choice>
      <mc:Fallback>
        <control shapeId="2056" r:id="rId5" name="CommandButton6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3</xdr:col>
                <xdr:colOff>6350</xdr:colOff>
                <xdr:row>4</xdr:row>
                <xdr:rowOff>6350</xdr:rowOff>
              </from>
              <to>
                <xdr:col>5</xdr:col>
                <xdr:colOff>266700</xdr:colOff>
                <xdr:row>5</xdr:row>
                <xdr:rowOff>203200</xdr:rowOff>
              </to>
            </anchor>
          </controlPr>
        </control>
      </mc:Choice>
      <mc:Fallback>
        <control shapeId="2050" r:id="rId7" name="CommandButton1"/>
      </mc:Fallback>
    </mc:AlternateContent>
    <mc:AlternateContent xmlns:mc="http://schemas.openxmlformats.org/markup-compatibility/2006">
      <mc:Choice Requires="x14">
        <control shapeId="2051" r:id="rId9" name="CommandButton2">
          <controlPr defaultSize="0" autoLine="0" r:id="rId10">
            <anchor moveWithCells="1">
              <from>
                <xdr:col>6</xdr:col>
                <xdr:colOff>6350</xdr:colOff>
                <xdr:row>4</xdr:row>
                <xdr:rowOff>0</xdr:rowOff>
              </from>
              <to>
                <xdr:col>8</xdr:col>
                <xdr:colOff>279400</xdr:colOff>
                <xdr:row>5</xdr:row>
                <xdr:rowOff>203200</xdr:rowOff>
              </to>
            </anchor>
          </controlPr>
        </control>
      </mc:Choice>
      <mc:Fallback>
        <control shapeId="2051" r:id="rId9" name="CommandButton2"/>
      </mc:Fallback>
    </mc:AlternateContent>
    <mc:AlternateContent xmlns:mc="http://schemas.openxmlformats.org/markup-compatibility/2006">
      <mc:Choice Requires="x14">
        <control shapeId="2053" r:id="rId11" name="CommandButton3">
          <controlPr defaultSize="0" autoLine="0" r:id="rId12">
            <anchor moveWithCells="1">
              <from>
                <xdr:col>9</xdr:col>
                <xdr:colOff>6350</xdr:colOff>
                <xdr:row>4</xdr:row>
                <xdr:rowOff>12700</xdr:rowOff>
              </from>
              <to>
                <xdr:col>11</xdr:col>
                <xdr:colOff>266700</xdr:colOff>
                <xdr:row>5</xdr:row>
                <xdr:rowOff>209550</xdr:rowOff>
              </to>
            </anchor>
          </controlPr>
        </control>
      </mc:Choice>
      <mc:Fallback>
        <control shapeId="2053" r:id="rId11" name="CommandButton3"/>
      </mc:Fallback>
    </mc:AlternateContent>
    <mc:AlternateContent xmlns:mc="http://schemas.openxmlformats.org/markup-compatibility/2006">
      <mc:Choice Requires="x14">
        <control shapeId="2054" r:id="rId13" name="CommandButton4">
          <controlPr defaultSize="0" autoLine="0" r:id="rId14">
            <anchor moveWithCells="1">
              <from>
                <xdr:col>3</xdr:col>
                <xdr:colOff>6350</xdr:colOff>
                <xdr:row>7</xdr:row>
                <xdr:rowOff>12700</xdr:rowOff>
              </from>
              <to>
                <xdr:col>5</xdr:col>
                <xdr:colOff>266700</xdr:colOff>
                <xdr:row>8</xdr:row>
                <xdr:rowOff>209550</xdr:rowOff>
              </to>
            </anchor>
          </controlPr>
        </control>
      </mc:Choice>
      <mc:Fallback>
        <control shapeId="2054" r:id="rId13" name="CommandButton4"/>
      </mc:Fallback>
    </mc:AlternateContent>
    <mc:AlternateContent xmlns:mc="http://schemas.openxmlformats.org/markup-compatibility/2006">
      <mc:Choice Requires="x14">
        <control shapeId="2055" r:id="rId15" name="CommandButton5">
          <controlPr defaultSize="0" autoLine="0" r:id="rId16">
            <anchor moveWithCells="1">
              <from>
                <xdr:col>6</xdr:col>
                <xdr:colOff>6350</xdr:colOff>
                <xdr:row>7</xdr:row>
                <xdr:rowOff>12700</xdr:rowOff>
              </from>
              <to>
                <xdr:col>8</xdr:col>
                <xdr:colOff>266700</xdr:colOff>
                <xdr:row>8</xdr:row>
                <xdr:rowOff>209550</xdr:rowOff>
              </to>
            </anchor>
          </controlPr>
        </control>
      </mc:Choice>
      <mc:Fallback>
        <control shapeId="2055" r:id="rId15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H16"/>
  <sheetViews>
    <sheetView workbookViewId="0"/>
  </sheetViews>
  <sheetFormatPr defaultRowHeight="17" x14ac:dyDescent="0.4"/>
  <cols>
    <col min="1" max="1" width="22.1796875" bestFit="1" customWidth="1"/>
  </cols>
  <sheetData>
    <row r="1" spans="1:8" x14ac:dyDescent="0.4">
      <c r="A1" t="s">
        <v>0</v>
      </c>
    </row>
    <row r="2" spans="1:8" x14ac:dyDescent="0.4">
      <c r="A2" t="s">
        <v>1</v>
      </c>
    </row>
    <row r="3" spans="1:8" x14ac:dyDescent="0.4">
      <c r="C3" t="s">
        <v>20</v>
      </c>
    </row>
    <row r="4" spans="1:8" x14ac:dyDescent="0.4">
      <c r="A4" t="s">
        <v>2</v>
      </c>
      <c r="B4" s="1">
        <v>100</v>
      </c>
      <c r="E4" t="s">
        <v>14</v>
      </c>
      <c r="H4" t="s">
        <v>19</v>
      </c>
    </row>
    <row r="5" spans="1:8" x14ac:dyDescent="0.4">
      <c r="A5" t="s">
        <v>3</v>
      </c>
      <c r="B5" s="1">
        <v>95</v>
      </c>
      <c r="D5" t="s">
        <v>13</v>
      </c>
      <c r="E5">
        <f>B4*B16*E11-B5*B15*E16</f>
        <v>9.7257564152682718</v>
      </c>
      <c r="H5">
        <f>B4*B16*(E11-1)-B5*B15*(E16-1)</f>
        <v>2.489559174432717</v>
      </c>
    </row>
    <row r="6" spans="1:8" x14ac:dyDescent="0.4">
      <c r="A6" t="s">
        <v>5</v>
      </c>
      <c r="B6" s="2">
        <v>0.08</v>
      </c>
    </row>
    <row r="8" spans="1:8" x14ac:dyDescent="0.4">
      <c r="A8" t="s">
        <v>4</v>
      </c>
      <c r="B8" s="2">
        <v>0.03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  <c r="D10" t="s">
        <v>15</v>
      </c>
      <c r="E10">
        <f>(LN(B4/B5)+B14*B11)/(B12*SQRT(B11))</f>
        <v>0.61018573632363982</v>
      </c>
    </row>
    <row r="11" spans="1:8" x14ac:dyDescent="0.4">
      <c r="A11" t="s">
        <v>8</v>
      </c>
      <c r="B11" s="1">
        <f>B10-B9</f>
        <v>0.5</v>
      </c>
      <c r="D11" t="s">
        <v>16</v>
      </c>
      <c r="E11">
        <f>NORMSDIST(E10)</f>
        <v>0.72913061132880386</v>
      </c>
    </row>
    <row r="12" spans="1:8" x14ac:dyDescent="0.4">
      <c r="A12" t="s">
        <v>9</v>
      </c>
      <c r="B12" s="2">
        <v>0.2</v>
      </c>
    </row>
    <row r="14" spans="1:8" x14ac:dyDescent="0.4">
      <c r="A14" t="s">
        <v>10</v>
      </c>
      <c r="B14" s="2">
        <f>B6-B8+0.5*B12^2</f>
        <v>7.0000000000000007E-2</v>
      </c>
    </row>
    <row r="15" spans="1:8" x14ac:dyDescent="0.4">
      <c r="A15" t="s">
        <v>11</v>
      </c>
      <c r="B15">
        <f>EXP(-B6*B11)</f>
        <v>0.96078943915232318</v>
      </c>
      <c r="D15" t="s">
        <v>17</v>
      </c>
      <c r="E15">
        <f>(LN(B4/B5)+(B6-B8-0.5*B12^2)*B11)/(B12*SQRT(B11))</f>
        <v>0.46876438008633026</v>
      </c>
    </row>
    <row r="16" spans="1:8" x14ac:dyDescent="0.4">
      <c r="A16" t="s">
        <v>12</v>
      </c>
      <c r="B16">
        <f>EXP(-B8*B11)</f>
        <v>0.98511193960306265</v>
      </c>
      <c r="D16" t="s">
        <v>18</v>
      </c>
      <c r="E16">
        <f>NORMSDIST(E15)</f>
        <v>0.68038096841139306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home.Gohome">
                <anchor moveWithCells="1" sizeWithCells="1">
                  <from>
                    <xdr:col>9</xdr:col>
                    <xdr:colOff>19050</xdr:colOff>
                    <xdr:row>3</xdr:row>
                    <xdr:rowOff>0</xdr:rowOff>
                  </from>
                  <to>
                    <xdr:col>10</xdr:col>
                    <xdr:colOff>590550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H14"/>
  <sheetViews>
    <sheetView workbookViewId="0"/>
  </sheetViews>
  <sheetFormatPr defaultRowHeight="17" x14ac:dyDescent="0.4"/>
  <cols>
    <col min="1" max="1" width="22.1796875" bestFit="1" customWidth="1"/>
    <col min="5" max="5" width="9.1796875" bestFit="1" customWidth="1"/>
  </cols>
  <sheetData>
    <row r="1" spans="1:8" x14ac:dyDescent="0.4">
      <c r="A1" t="s">
        <v>0</v>
      </c>
    </row>
    <row r="2" spans="1:8" x14ac:dyDescent="0.4">
      <c r="A2" t="s">
        <v>1</v>
      </c>
    </row>
    <row r="4" spans="1:8" x14ac:dyDescent="0.4">
      <c r="A4" t="s">
        <v>2</v>
      </c>
      <c r="B4" s="1">
        <v>100</v>
      </c>
    </row>
    <row r="5" spans="1:8" x14ac:dyDescent="0.4">
      <c r="A5" t="s">
        <v>3</v>
      </c>
      <c r="B5" s="1">
        <v>95</v>
      </c>
    </row>
    <row r="6" spans="1:8" x14ac:dyDescent="0.4">
      <c r="A6" t="s">
        <v>5</v>
      </c>
      <c r="B6" s="2">
        <v>0.08</v>
      </c>
      <c r="E6" t="s">
        <v>21</v>
      </c>
      <c r="H6" t="s">
        <v>22</v>
      </c>
    </row>
    <row r="7" spans="1:8" x14ac:dyDescent="0.4">
      <c r="D7" t="s">
        <v>23</v>
      </c>
      <c r="E7">
        <v>1</v>
      </c>
      <c r="H7">
        <v>-1</v>
      </c>
    </row>
    <row r="8" spans="1:8" x14ac:dyDescent="0.4">
      <c r="A8" t="s">
        <v>4</v>
      </c>
      <c r="B8" s="2">
        <v>0.03</v>
      </c>
      <c r="D8" t="s">
        <v>24</v>
      </c>
      <c r="E8">
        <f>BSOptionValue(E7, B4, B5, B6, B8, B11, B12)</f>
        <v>9.7257564152682718</v>
      </c>
      <c r="H8">
        <f>BSOptionValue(H7, B4, B5, B6, B8, B11, B12)</f>
        <v>2.489559174432717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</row>
    <row r="11" spans="1:8" x14ac:dyDescent="0.4">
      <c r="A11" t="s">
        <v>8</v>
      </c>
      <c r="B11" s="1">
        <f>B10-B9</f>
        <v>0.5</v>
      </c>
    </row>
    <row r="12" spans="1:8" x14ac:dyDescent="0.4">
      <c r="A12" t="s">
        <v>9</v>
      </c>
      <c r="B12" s="2">
        <v>0.2</v>
      </c>
    </row>
    <row r="14" spans="1:8" x14ac:dyDescent="0.4">
      <c r="B14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ohome.Gohome">
                <anchor moveWithCells="1" sizeWithCells="1">
                  <from>
                    <xdr:col>9</xdr:col>
                    <xdr:colOff>25400</xdr:colOff>
                    <xdr:row>5</xdr:row>
                    <xdr:rowOff>19050</xdr:rowOff>
                  </from>
                  <to>
                    <xdr:col>10</xdr:col>
                    <xdr:colOff>577850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H12"/>
  <sheetViews>
    <sheetView workbookViewId="0">
      <selection activeCell="H5" sqref="H5"/>
    </sheetView>
  </sheetViews>
  <sheetFormatPr defaultRowHeight="17" x14ac:dyDescent="0.4"/>
  <sheetData>
    <row r="1" spans="1:8" x14ac:dyDescent="0.4">
      <c r="A1" t="s">
        <v>25</v>
      </c>
    </row>
    <row r="2" spans="1:8" x14ac:dyDescent="0.4">
      <c r="A2" t="s">
        <v>1</v>
      </c>
    </row>
    <row r="4" spans="1:8" x14ac:dyDescent="0.4">
      <c r="A4" t="s">
        <v>2</v>
      </c>
      <c r="B4" s="1">
        <v>100</v>
      </c>
      <c r="E4" t="s">
        <v>21</v>
      </c>
      <c r="H4" t="s">
        <v>26</v>
      </c>
    </row>
    <row r="5" spans="1:8" x14ac:dyDescent="0.4">
      <c r="A5" t="s">
        <v>3</v>
      </c>
      <c r="B5" s="1">
        <v>95</v>
      </c>
      <c r="D5" t="s">
        <v>13</v>
      </c>
      <c r="E5">
        <v>9.7257564152682718</v>
      </c>
      <c r="H5">
        <v>2.489559174432717</v>
      </c>
    </row>
    <row r="6" spans="1:8" x14ac:dyDescent="0.4">
      <c r="A6" t="s">
        <v>5</v>
      </c>
      <c r="B6" s="2">
        <v>0.08</v>
      </c>
    </row>
    <row r="8" spans="1:8" x14ac:dyDescent="0.4">
      <c r="A8" t="s">
        <v>4</v>
      </c>
      <c r="B8" s="2">
        <v>0.03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</row>
    <row r="11" spans="1:8" x14ac:dyDescent="0.4">
      <c r="A11" t="s">
        <v>8</v>
      </c>
      <c r="B11" s="1">
        <f>B10-B9</f>
        <v>0.5</v>
      </c>
    </row>
    <row r="12" spans="1:8" x14ac:dyDescent="0.4">
      <c r="A12" t="s">
        <v>9</v>
      </c>
      <c r="B12" s="2">
        <v>0.2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4</xdr:col>
                <xdr:colOff>438150</xdr:colOff>
                <xdr:row>6</xdr:row>
                <xdr:rowOff>152400</xdr:rowOff>
              </from>
              <to>
                <xdr:col>6</xdr:col>
                <xdr:colOff>533400</xdr:colOff>
                <xdr:row>8</xdr:row>
                <xdr:rowOff>158750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Button 2">
          <controlPr defaultSize="0" print="0" autoFill="0" autoPict="0" macro="[0]!Gohome.Gohome">
            <anchor moveWithCells="1" sizeWithCells="1">
              <from>
                <xdr:col>9</xdr:col>
                <xdr:colOff>12700</xdr:colOff>
                <xdr:row>3</xdr:row>
                <xdr:rowOff>25400</xdr:rowOff>
              </from>
              <to>
                <xdr:col>10</xdr:col>
                <xdr:colOff>590550</xdr:colOff>
                <xdr:row>5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K26"/>
  <sheetViews>
    <sheetView workbookViewId="0">
      <selection activeCell="F17" sqref="F17"/>
    </sheetView>
  </sheetViews>
  <sheetFormatPr defaultRowHeight="17" x14ac:dyDescent="0.4"/>
  <cols>
    <col min="1" max="1" width="22.1796875" bestFit="1" customWidth="1"/>
    <col min="2" max="2" width="13.1796875" customWidth="1"/>
    <col min="6" max="6" width="9.90625" bestFit="1" customWidth="1"/>
    <col min="7" max="7" width="13" bestFit="1" customWidth="1"/>
    <col min="8" max="8" width="11.90625" bestFit="1" customWidth="1"/>
    <col min="9" max="9" width="13" bestFit="1" customWidth="1"/>
    <col min="10" max="10" width="9.6328125" customWidth="1"/>
    <col min="11" max="11" width="8.6328125" customWidth="1"/>
  </cols>
  <sheetData>
    <row r="1" spans="1:11" x14ac:dyDescent="0.4">
      <c r="A1" t="s">
        <v>25</v>
      </c>
    </row>
    <row r="2" spans="1:11" x14ac:dyDescent="0.4">
      <c r="A2" t="s">
        <v>1</v>
      </c>
    </row>
    <row r="3" spans="1:11" x14ac:dyDescent="0.4">
      <c r="K3" s="1"/>
    </row>
    <row r="4" spans="1:11" x14ac:dyDescent="0.4">
      <c r="A4" t="s">
        <v>2</v>
      </c>
      <c r="B4" s="1">
        <v>100</v>
      </c>
      <c r="K4" s="1"/>
    </row>
    <row r="5" spans="1:11" x14ac:dyDescent="0.4">
      <c r="A5" t="s">
        <v>3</v>
      </c>
      <c r="B5" s="1">
        <v>100</v>
      </c>
      <c r="K5" s="1"/>
    </row>
    <row r="6" spans="1:11" x14ac:dyDescent="0.4">
      <c r="A6" t="s">
        <v>5</v>
      </c>
      <c r="B6" s="2">
        <v>0.08</v>
      </c>
      <c r="E6" t="s">
        <v>21</v>
      </c>
      <c r="K6" s="1"/>
    </row>
    <row r="7" spans="1:11" x14ac:dyDescent="0.4">
      <c r="D7" t="s">
        <v>23</v>
      </c>
      <c r="E7">
        <v>1</v>
      </c>
      <c r="K7" s="1"/>
    </row>
    <row r="8" spans="1:11" x14ac:dyDescent="0.4">
      <c r="A8" t="s">
        <v>4</v>
      </c>
      <c r="B8" s="2">
        <v>0.03</v>
      </c>
      <c r="D8" t="s">
        <v>24</v>
      </c>
      <c r="E8">
        <f>BSOptionValue(E7, B4, B5, B6, B8, B11, B12)</f>
        <v>8.0038251909535063E-2</v>
      </c>
      <c r="K8" s="1"/>
    </row>
    <row r="9" spans="1:11" x14ac:dyDescent="0.4">
      <c r="A9" t="s">
        <v>7</v>
      </c>
      <c r="B9" s="3">
        <v>0</v>
      </c>
      <c r="K9" s="1"/>
    </row>
    <row r="10" spans="1:11" x14ac:dyDescent="0.4">
      <c r="A10" t="s">
        <v>6</v>
      </c>
      <c r="B10" s="3">
        <v>1E-4</v>
      </c>
      <c r="K10" s="1"/>
    </row>
    <row r="11" spans="1:11" x14ac:dyDescent="0.4">
      <c r="A11" t="s">
        <v>8</v>
      </c>
      <c r="B11" s="3">
        <f>B10-B9</f>
        <v>1E-4</v>
      </c>
      <c r="K11" s="1"/>
    </row>
    <row r="12" spans="1:11" x14ac:dyDescent="0.4">
      <c r="A12" t="s">
        <v>9</v>
      </c>
      <c r="B12" s="2">
        <v>0.2</v>
      </c>
      <c r="K12" s="1"/>
    </row>
    <row r="16" spans="1:11" x14ac:dyDescent="0.4">
      <c r="E16" t="s">
        <v>31</v>
      </c>
      <c r="F16" t="s">
        <v>27</v>
      </c>
      <c r="G16" t="s">
        <v>28</v>
      </c>
      <c r="H16" t="s">
        <v>29</v>
      </c>
      <c r="I16" t="s">
        <v>30</v>
      </c>
    </row>
    <row r="17" spans="5:9" x14ac:dyDescent="0.4">
      <c r="E17">
        <v>20</v>
      </c>
      <c r="F17">
        <f>BSOptionValue($E$7, E17, $B$5, $B$6, $B$8, $B$11, $B$12)</f>
        <v>0</v>
      </c>
      <c r="G17">
        <f>BSOptionValue($E$7, E17, $B$5, $B$6, $B$8, 1, $B$12)</f>
        <v>3.3155305923200245E-15</v>
      </c>
      <c r="H17">
        <f>BSOptionValue($E$7, E17, $B$5, $B$6, $B$8, 2, $B$12)</f>
        <v>9.3558045138828913E-8</v>
      </c>
      <c r="I17">
        <f>BSOptionValue($E$7, E17, $B$5, $B$6, $B$8, 3, $B$12)</f>
        <v>3.5265102658061016E-5</v>
      </c>
    </row>
    <row r="18" spans="5:9" x14ac:dyDescent="0.4">
      <c r="E18">
        <v>40</v>
      </c>
      <c r="F18">
        <f t="shared" ref="F18:F26" si="0">BSOptionValue($E$7, E18, $B$5, $B$6, $B$8, $B$11, $B$12)</f>
        <v>0</v>
      </c>
      <c r="G18">
        <f t="shared" ref="G18:G26" si="1">BSOptionValue($E$7, E18, $B$5, $B$6, $B$8, 1, $B$12)</f>
        <v>1.8629284329904551E-5</v>
      </c>
      <c r="H18">
        <f t="shared" ref="H18:H26" si="2">BSOptionValue($E$7, E18, $B$5, $B$6, $B$8, 2, $B$12)</f>
        <v>9.0298719074419498E-3</v>
      </c>
      <c r="I18">
        <f t="shared" ref="I18:I26" si="3">BSOptionValue($E$7, E18, $B$5, $B$6, $B$8, 3, $B$12)</f>
        <v>8.6652407615500304E-2</v>
      </c>
    </row>
    <row r="19" spans="5:9" x14ac:dyDescent="0.4">
      <c r="E19">
        <v>60</v>
      </c>
      <c r="F19">
        <f t="shared" si="0"/>
        <v>0</v>
      </c>
      <c r="G19">
        <f t="shared" si="1"/>
        <v>5.2827881557825029E-2</v>
      </c>
      <c r="H19">
        <f t="shared" si="2"/>
        <v>0.63586540428069416</v>
      </c>
      <c r="I19">
        <f t="shared" si="3"/>
        <v>1.7332351251364511</v>
      </c>
    </row>
    <row r="20" spans="5:9" x14ac:dyDescent="0.4">
      <c r="E20">
        <v>80</v>
      </c>
      <c r="F20">
        <f t="shared" si="0"/>
        <v>0</v>
      </c>
      <c r="G20">
        <f t="shared" si="1"/>
        <v>1.8044654194282579</v>
      </c>
      <c r="H20">
        <f t="shared" si="2"/>
        <v>4.9271545893391675</v>
      </c>
      <c r="I20">
        <f t="shared" si="3"/>
        <v>7.8906095286137337</v>
      </c>
    </row>
    <row r="21" spans="5:9" x14ac:dyDescent="0.4">
      <c r="E21">
        <v>100</v>
      </c>
      <c r="F21">
        <f t="shared" si="0"/>
        <v>8.0038251909535063E-2</v>
      </c>
      <c r="G21">
        <f t="shared" si="1"/>
        <v>10.141722150602902</v>
      </c>
      <c r="H21">
        <f t="shared" si="2"/>
        <v>15.187629185910417</v>
      </c>
      <c r="I21">
        <f t="shared" si="3"/>
        <v>19.123426006722518</v>
      </c>
    </row>
    <row r="22" spans="5:9" x14ac:dyDescent="0.4">
      <c r="E22">
        <v>120</v>
      </c>
      <c r="F22">
        <f t="shared" si="0"/>
        <v>20.000439997339996</v>
      </c>
      <c r="G22">
        <f t="shared" si="1"/>
        <v>25.395631815452603</v>
      </c>
      <c r="H22">
        <f t="shared" si="2"/>
        <v>30.103359463284974</v>
      </c>
      <c r="I22">
        <f t="shared" si="3"/>
        <v>33.87675111728359</v>
      </c>
    </row>
    <row r="23" spans="5:9" x14ac:dyDescent="0.4">
      <c r="E23">
        <v>140</v>
      </c>
      <c r="F23">
        <f t="shared" si="0"/>
        <v>40.000379997430002</v>
      </c>
      <c r="G23">
        <f t="shared" si="1"/>
        <v>43.777389787252588</v>
      </c>
      <c r="H23">
        <f t="shared" si="2"/>
        <v>47.422591343439692</v>
      </c>
      <c r="I23">
        <f t="shared" si="3"/>
        <v>50.536493354313393</v>
      </c>
    </row>
    <row r="24" spans="5:9" x14ac:dyDescent="0.4">
      <c r="E24">
        <v>160</v>
      </c>
      <c r="F24">
        <f t="shared" si="0"/>
        <v>60.000319997519995</v>
      </c>
      <c r="G24">
        <f t="shared" si="1"/>
        <v>62.994553607197929</v>
      </c>
      <c r="H24">
        <f t="shared" si="2"/>
        <v>65.727094367273509</v>
      </c>
      <c r="I24">
        <f t="shared" si="3"/>
        <v>68.104172304375993</v>
      </c>
    </row>
    <row r="25" spans="5:9" x14ac:dyDescent="0.4">
      <c r="E25">
        <v>180</v>
      </c>
      <c r="F25">
        <f t="shared" si="0"/>
        <v>80.000259997609987</v>
      </c>
      <c r="G25">
        <f t="shared" si="1"/>
        <v>82.373441543525686</v>
      </c>
      <c r="H25">
        <f t="shared" si="2"/>
        <v>84.386566608472961</v>
      </c>
      <c r="I25">
        <f t="shared" si="3"/>
        <v>86.076694900714315</v>
      </c>
    </row>
    <row r="26" spans="5:9" x14ac:dyDescent="0.4">
      <c r="E26">
        <v>200</v>
      </c>
      <c r="F26">
        <f t="shared" si="0"/>
        <v>100.00019999769998</v>
      </c>
      <c r="G26">
        <f t="shared" si="1"/>
        <v>101.77811905193158</v>
      </c>
      <c r="H26">
        <f t="shared" si="2"/>
        <v>103.16518961376872</v>
      </c>
      <c r="I26">
        <f t="shared" si="3"/>
        <v>104.22415616931499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ohome.Gohome">
                <anchor moveWithCells="1" sizeWithCells="1">
                  <from>
                    <xdr:col>7</xdr:col>
                    <xdr:colOff>12700</xdr:colOff>
                    <xdr:row>4</xdr:row>
                    <xdr:rowOff>0</xdr:rowOff>
                  </from>
                  <to>
                    <xdr:col>8</xdr:col>
                    <xdr:colOff>495300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26"/>
  <sheetViews>
    <sheetView workbookViewId="0">
      <selection sqref="A1:B12"/>
    </sheetView>
  </sheetViews>
  <sheetFormatPr defaultRowHeight="17" x14ac:dyDescent="0.4"/>
  <cols>
    <col min="1" max="1" width="22.1796875" bestFit="1" customWidth="1"/>
    <col min="2" max="2" width="13.1796875" customWidth="1"/>
    <col min="10" max="10" width="9.6328125" customWidth="1"/>
    <col min="11" max="11" width="8.6328125" customWidth="1"/>
  </cols>
  <sheetData>
    <row r="1" spans="1:14" x14ac:dyDescent="0.4">
      <c r="A1" t="s">
        <v>25</v>
      </c>
    </row>
    <row r="2" spans="1:14" x14ac:dyDescent="0.4">
      <c r="A2" t="s">
        <v>1</v>
      </c>
      <c r="J2">
        <f>E8</f>
        <v>8.0038251909535063E-2</v>
      </c>
      <c r="K2">
        <v>1E-4</v>
      </c>
      <c r="L2">
        <v>1</v>
      </c>
      <c r="M2">
        <v>2</v>
      </c>
      <c r="N2">
        <v>3</v>
      </c>
    </row>
    <row r="3" spans="1:14" x14ac:dyDescent="0.4">
      <c r="J3">
        <v>20</v>
      </c>
      <c r="K3" s="1">
        <v>0</v>
      </c>
      <c r="L3">
        <v>3.3155305923200245E-15</v>
      </c>
      <c r="M3">
        <v>9.3558045138828913E-8</v>
      </c>
      <c r="N3">
        <v>3.5265102658061016E-5</v>
      </c>
    </row>
    <row r="4" spans="1:14" x14ac:dyDescent="0.4">
      <c r="A4" t="s">
        <v>2</v>
      </c>
      <c r="B4" s="1">
        <v>100</v>
      </c>
      <c r="J4">
        <v>40</v>
      </c>
      <c r="K4" s="1">
        <v>0</v>
      </c>
      <c r="L4">
        <v>1.8629284329904551E-5</v>
      </c>
      <c r="M4">
        <v>9.0298719074419498E-3</v>
      </c>
      <c r="N4">
        <v>8.6652407615500304E-2</v>
      </c>
    </row>
    <row r="5" spans="1:14" x14ac:dyDescent="0.4">
      <c r="A5" t="s">
        <v>3</v>
      </c>
      <c r="B5" s="1">
        <v>100</v>
      </c>
      <c r="J5">
        <v>60</v>
      </c>
      <c r="K5" s="1">
        <v>0</v>
      </c>
      <c r="L5">
        <v>5.2827881557825029E-2</v>
      </c>
      <c r="M5">
        <v>0.63586540428069416</v>
      </c>
      <c r="N5">
        <v>1.7332351251364511</v>
      </c>
    </row>
    <row r="6" spans="1:14" x14ac:dyDescent="0.4">
      <c r="A6" t="s">
        <v>5</v>
      </c>
      <c r="B6" s="2">
        <v>0.08</v>
      </c>
      <c r="E6" t="s">
        <v>21</v>
      </c>
      <c r="J6">
        <v>80</v>
      </c>
      <c r="K6" s="1">
        <v>0</v>
      </c>
      <c r="L6">
        <v>1.8044654194282579</v>
      </c>
      <c r="M6">
        <v>4.9271545893391675</v>
      </c>
      <c r="N6">
        <v>7.8906095286137337</v>
      </c>
    </row>
    <row r="7" spans="1:14" x14ac:dyDescent="0.4">
      <c r="D7" t="s">
        <v>23</v>
      </c>
      <c r="E7">
        <v>1</v>
      </c>
      <c r="J7">
        <v>100</v>
      </c>
      <c r="K7" s="1">
        <v>8.0038251909535063E-2</v>
      </c>
      <c r="L7">
        <v>10.141722150602902</v>
      </c>
      <c r="M7">
        <v>15.187629185910417</v>
      </c>
      <c r="N7">
        <v>19.123426006722518</v>
      </c>
    </row>
    <row r="8" spans="1:14" x14ac:dyDescent="0.4">
      <c r="A8" t="s">
        <v>4</v>
      </c>
      <c r="B8" s="2">
        <v>0.03</v>
      </c>
      <c r="D8" t="s">
        <v>24</v>
      </c>
      <c r="E8">
        <f>BSOptionValue(E7, B4, B5, B6, B8, B11, B12)</f>
        <v>8.0038251909535063E-2</v>
      </c>
      <c r="J8">
        <v>120</v>
      </c>
      <c r="K8" s="1">
        <v>20.000439997339996</v>
      </c>
      <c r="L8">
        <v>25.395631815452603</v>
      </c>
      <c r="M8">
        <v>30.103359463284974</v>
      </c>
      <c r="N8">
        <v>33.87675111728359</v>
      </c>
    </row>
    <row r="9" spans="1:14" x14ac:dyDescent="0.4">
      <c r="A9" t="s">
        <v>7</v>
      </c>
      <c r="B9" s="3">
        <v>0</v>
      </c>
      <c r="J9">
        <v>140</v>
      </c>
      <c r="K9" s="1">
        <v>40.000379997430002</v>
      </c>
      <c r="L9">
        <v>43.777389787252588</v>
      </c>
      <c r="M9">
        <v>47.422591343439692</v>
      </c>
      <c r="N9">
        <v>50.536493354313393</v>
      </c>
    </row>
    <row r="10" spans="1:14" x14ac:dyDescent="0.4">
      <c r="A10" t="s">
        <v>6</v>
      </c>
      <c r="B10" s="3">
        <v>1E-4</v>
      </c>
      <c r="J10">
        <v>160</v>
      </c>
      <c r="K10" s="1">
        <v>60.000319997519995</v>
      </c>
      <c r="L10">
        <v>62.994553607197929</v>
      </c>
      <c r="M10">
        <v>65.727094367273509</v>
      </c>
      <c r="N10">
        <v>68.104172304375993</v>
      </c>
    </row>
    <row r="11" spans="1:14" x14ac:dyDescent="0.4">
      <c r="A11" t="s">
        <v>8</v>
      </c>
      <c r="B11" s="3">
        <f>B10-B9</f>
        <v>1E-4</v>
      </c>
      <c r="J11">
        <v>180</v>
      </c>
      <c r="K11" s="1">
        <v>80.000259997609987</v>
      </c>
      <c r="L11">
        <v>82.373441543525686</v>
      </c>
      <c r="M11">
        <v>84.386566608472961</v>
      </c>
      <c r="N11">
        <v>86.076694900714315</v>
      </c>
    </row>
    <row r="12" spans="1:14" x14ac:dyDescent="0.4">
      <c r="A12" t="s">
        <v>9</v>
      </c>
      <c r="B12" s="2">
        <v>0.2</v>
      </c>
      <c r="J12">
        <v>200</v>
      </c>
      <c r="K12" s="1">
        <v>100.00019999769998</v>
      </c>
      <c r="L12">
        <v>101.77811905193158</v>
      </c>
      <c r="M12">
        <v>103.16518961376872</v>
      </c>
      <c r="N12">
        <v>104.22415616931499</v>
      </c>
    </row>
    <row r="16" spans="1:14" x14ac:dyDescent="0.4">
      <c r="E16" t="s">
        <v>31</v>
      </c>
      <c r="F16" t="s">
        <v>27</v>
      </c>
      <c r="G16" t="s">
        <v>28</v>
      </c>
      <c r="H16" t="s">
        <v>29</v>
      </c>
      <c r="I16" t="s">
        <v>30</v>
      </c>
    </row>
    <row r="17" spans="5:9" x14ac:dyDescent="0.4">
      <c r="E17">
        <v>20</v>
      </c>
      <c r="F17">
        <v>0</v>
      </c>
      <c r="G17">
        <v>3.3155305923200245E-15</v>
      </c>
      <c r="H17">
        <v>9.3558045138828913E-8</v>
      </c>
      <c r="I17">
        <v>3.5265102658061016E-5</v>
      </c>
    </row>
    <row r="18" spans="5:9" x14ac:dyDescent="0.4">
      <c r="E18">
        <v>40</v>
      </c>
      <c r="F18">
        <v>0</v>
      </c>
      <c r="G18">
        <v>1.8629284329904551E-5</v>
      </c>
      <c r="H18">
        <v>9.0298719074419498E-3</v>
      </c>
      <c r="I18">
        <v>8.6652407615500304E-2</v>
      </c>
    </row>
    <row r="19" spans="5:9" x14ac:dyDescent="0.4">
      <c r="E19">
        <v>60</v>
      </c>
      <c r="F19">
        <v>0</v>
      </c>
      <c r="G19">
        <v>5.2827881557825029E-2</v>
      </c>
      <c r="H19">
        <v>0.63586540428069416</v>
      </c>
      <c r="I19">
        <v>1.7332351251364511</v>
      </c>
    </row>
    <row r="20" spans="5:9" x14ac:dyDescent="0.4">
      <c r="E20">
        <v>80</v>
      </c>
      <c r="F20">
        <v>0</v>
      </c>
      <c r="G20">
        <v>1.8044654194282579</v>
      </c>
      <c r="H20">
        <v>4.9271545893391675</v>
      </c>
      <c r="I20">
        <v>7.8906095286137337</v>
      </c>
    </row>
    <row r="21" spans="5:9" x14ac:dyDescent="0.4">
      <c r="E21">
        <v>100</v>
      </c>
      <c r="F21">
        <v>8.0038251909535063E-2</v>
      </c>
      <c r="G21">
        <v>10.141722150602902</v>
      </c>
      <c r="H21">
        <v>15.187629185910417</v>
      </c>
      <c r="I21">
        <v>19.123426006722518</v>
      </c>
    </row>
    <row r="22" spans="5:9" x14ac:dyDescent="0.4">
      <c r="E22">
        <v>120</v>
      </c>
      <c r="F22">
        <v>20.000439997339996</v>
      </c>
      <c r="G22">
        <v>25.395631815452603</v>
      </c>
      <c r="H22">
        <v>30.103359463284974</v>
      </c>
      <c r="I22">
        <v>33.87675111728359</v>
      </c>
    </row>
    <row r="23" spans="5:9" x14ac:dyDescent="0.4">
      <c r="E23">
        <v>140</v>
      </c>
      <c r="F23">
        <v>40.000379997430002</v>
      </c>
      <c r="G23">
        <v>43.777389787252588</v>
      </c>
      <c r="H23">
        <v>47.422591343439692</v>
      </c>
      <c r="I23">
        <v>50.536493354313393</v>
      </c>
    </row>
    <row r="24" spans="5:9" x14ac:dyDescent="0.4">
      <c r="E24">
        <v>160</v>
      </c>
      <c r="F24">
        <v>60.000319997519995</v>
      </c>
      <c r="G24">
        <v>62.994553607197929</v>
      </c>
      <c r="H24">
        <v>65.727094367273509</v>
      </c>
      <c r="I24">
        <v>68.104172304375993</v>
      </c>
    </row>
    <row r="25" spans="5:9" x14ac:dyDescent="0.4">
      <c r="E25">
        <v>180</v>
      </c>
      <c r="F25">
        <v>80.000259997609987</v>
      </c>
      <c r="G25">
        <v>82.373441543525686</v>
      </c>
      <c r="H25">
        <v>84.386566608472961</v>
      </c>
      <c r="I25">
        <v>86.076694900714315</v>
      </c>
    </row>
    <row r="26" spans="5:9" x14ac:dyDescent="0.4">
      <c r="E26">
        <v>200</v>
      </c>
      <c r="F26">
        <v>100.00019999769998</v>
      </c>
      <c r="G26">
        <v>101.77811905193158</v>
      </c>
      <c r="H26">
        <v>103.16518961376872</v>
      </c>
      <c r="I26">
        <v>104.22415616931499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Gohome.Gohome">
                <anchor moveWithCells="1" sizeWithCells="1">
                  <from>
                    <xdr:col>3</xdr:col>
                    <xdr:colOff>19050</xdr:colOff>
                    <xdr:row>9</xdr:row>
                    <xdr:rowOff>12700</xdr:rowOff>
                  </from>
                  <to>
                    <xdr:col>4</xdr:col>
                    <xdr:colOff>590550</xdr:colOff>
                    <xdr:row>10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G28"/>
  <sheetViews>
    <sheetView workbookViewId="0">
      <selection activeCell="J6" sqref="J6"/>
    </sheetView>
  </sheetViews>
  <sheetFormatPr defaultRowHeight="17" x14ac:dyDescent="0.4"/>
  <cols>
    <col min="1" max="1" width="22.1796875" bestFit="1" customWidth="1"/>
  </cols>
  <sheetData>
    <row r="1" spans="1:2" x14ac:dyDescent="0.4">
      <c r="A1" t="s">
        <v>25</v>
      </c>
    </row>
    <row r="2" spans="1:2" x14ac:dyDescent="0.4">
      <c r="A2" t="s">
        <v>1</v>
      </c>
    </row>
    <row r="4" spans="1:2" x14ac:dyDescent="0.4">
      <c r="A4" t="s">
        <v>2</v>
      </c>
      <c r="B4" s="1">
        <v>100</v>
      </c>
    </row>
    <row r="5" spans="1:2" x14ac:dyDescent="0.4">
      <c r="A5" t="s">
        <v>3</v>
      </c>
      <c r="B5" s="1">
        <v>100</v>
      </c>
    </row>
    <row r="6" spans="1:2" x14ac:dyDescent="0.4">
      <c r="A6" t="s">
        <v>5</v>
      </c>
      <c r="B6" s="2">
        <v>0.08</v>
      </c>
    </row>
    <row r="8" spans="1:2" x14ac:dyDescent="0.4">
      <c r="A8" t="s">
        <v>4</v>
      </c>
      <c r="B8" s="2">
        <v>0.03</v>
      </c>
    </row>
    <row r="9" spans="1:2" x14ac:dyDescent="0.4">
      <c r="A9" t="s">
        <v>7</v>
      </c>
      <c r="B9" s="3">
        <v>0</v>
      </c>
    </row>
    <row r="10" spans="1:2" x14ac:dyDescent="0.4">
      <c r="A10" t="s">
        <v>6</v>
      </c>
      <c r="B10" s="3">
        <v>0.5</v>
      </c>
    </row>
    <row r="11" spans="1:2" x14ac:dyDescent="0.4">
      <c r="A11" t="s">
        <v>8</v>
      </c>
      <c r="B11" s="3">
        <f>B10-B9</f>
        <v>0.5</v>
      </c>
    </row>
    <row r="12" spans="1:2" x14ac:dyDescent="0.4">
      <c r="A12" t="s">
        <v>9</v>
      </c>
      <c r="B12" s="2">
        <v>0.2</v>
      </c>
    </row>
    <row r="18" spans="3:7" x14ac:dyDescent="0.4">
      <c r="C18" t="s">
        <v>33</v>
      </c>
      <c r="D18" t="s">
        <v>27</v>
      </c>
      <c r="E18" t="s">
        <v>34</v>
      </c>
      <c r="F18" t="s">
        <v>29</v>
      </c>
      <c r="G18" t="s">
        <v>35</v>
      </c>
    </row>
    <row r="19" spans="3:7" x14ac:dyDescent="0.4">
      <c r="C19">
        <v>20</v>
      </c>
      <c r="D19">
        <v>0</v>
      </c>
      <c r="E19">
        <v>3.3267564452880252E-15</v>
      </c>
      <c r="F19">
        <v>9.3640142741299911E-8</v>
      </c>
      <c r="G19">
        <v>3.5279301036925407E-5</v>
      </c>
    </row>
    <row r="20" spans="3:7" x14ac:dyDescent="0.4">
      <c r="C20">
        <v>40</v>
      </c>
      <c r="D20">
        <v>0</v>
      </c>
      <c r="E20">
        <v>1.8651438619552471E-5</v>
      </c>
      <c r="F20">
        <v>9.0328290306221221E-3</v>
      </c>
      <c r="G20">
        <v>8.666603923899352E-2</v>
      </c>
    </row>
    <row r="21" spans="3:7" x14ac:dyDescent="0.4">
      <c r="C21">
        <v>60</v>
      </c>
      <c r="D21">
        <v>0</v>
      </c>
      <c r="E21">
        <v>5.285193640772512E-2</v>
      </c>
      <c r="F21">
        <v>0.6359546262993776</v>
      </c>
      <c r="G21">
        <v>1.7333606909059238</v>
      </c>
    </row>
    <row r="22" spans="3:7" x14ac:dyDescent="0.4">
      <c r="C22">
        <v>80</v>
      </c>
      <c r="D22">
        <v>0</v>
      </c>
      <c r="E22">
        <v>1.8047681539252345</v>
      </c>
      <c r="F22">
        <v>4.9274635215284164</v>
      </c>
      <c r="G22">
        <v>7.890891939290551</v>
      </c>
    </row>
    <row r="23" spans="3:7" x14ac:dyDescent="0.4">
      <c r="C23">
        <v>100</v>
      </c>
      <c r="D23">
        <v>8.0038251909535063E-2</v>
      </c>
      <c r="E23">
        <v>10.142314159871773</v>
      </c>
      <c r="F23">
        <v>15.18806747997737</v>
      </c>
      <c r="G23">
        <v>19.123780772926395</v>
      </c>
    </row>
    <row r="24" spans="3:7" x14ac:dyDescent="0.4">
      <c r="C24">
        <v>120</v>
      </c>
      <c r="D24">
        <v>20.000439997339996</v>
      </c>
      <c r="E24">
        <v>25.396160243761429</v>
      </c>
      <c r="F24">
        <v>30.103778339126151</v>
      </c>
      <c r="G24">
        <v>33.877090904176086</v>
      </c>
    </row>
    <row r="25" spans="3:7" x14ac:dyDescent="0.4">
      <c r="C25">
        <v>140</v>
      </c>
      <c r="D25">
        <v>40.000379997430002</v>
      </c>
      <c r="E25">
        <v>43.777773294024541</v>
      </c>
      <c r="F25">
        <v>47.422930847060115</v>
      </c>
      <c r="G25">
        <v>50.536777047893395</v>
      </c>
    </row>
    <row r="26" spans="3:7" x14ac:dyDescent="0.4">
      <c r="C26">
        <v>160</v>
      </c>
      <c r="D26">
        <v>60.000319997519995</v>
      </c>
      <c r="E26">
        <v>62.994839494708998</v>
      </c>
      <c r="F26">
        <v>65.727351808535161</v>
      </c>
      <c r="G26">
        <v>68.10438951399928</v>
      </c>
    </row>
    <row r="27" spans="3:7" x14ac:dyDescent="0.4">
      <c r="C27">
        <v>180</v>
      </c>
      <c r="D27">
        <v>80.000259997609987</v>
      </c>
      <c r="E27">
        <v>82.3736586368113</v>
      </c>
      <c r="F27">
        <v>84.386752285118149</v>
      </c>
      <c r="G27">
        <v>86.07684679117699</v>
      </c>
    </row>
    <row r="28" spans="3:7" x14ac:dyDescent="0.4">
      <c r="C28">
        <v>200</v>
      </c>
      <c r="D28">
        <v>100.00019999769998</v>
      </c>
      <c r="E28">
        <v>101.77827573835302</v>
      </c>
      <c r="F28">
        <v>103.16531147574182</v>
      </c>
      <c r="G28">
        <v>104.22424620329102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OptionButton2">
          <controlPr defaultSize="0" autoLine="0" r:id="rId4">
            <anchor moveWithCells="1">
              <from>
                <xdr:col>5</xdr:col>
                <xdr:colOff>565150</xdr:colOff>
                <xdr:row>2</xdr:row>
                <xdr:rowOff>190500</xdr:rowOff>
              </from>
              <to>
                <xdr:col>7</xdr:col>
                <xdr:colOff>368300</xdr:colOff>
                <xdr:row>3</xdr:row>
                <xdr:rowOff>209550</xdr:rowOff>
              </to>
            </anchor>
          </controlPr>
        </control>
      </mc:Choice>
      <mc:Fallback>
        <control shapeId="11266" r:id="rId3" name="OptionButton2"/>
      </mc:Fallback>
    </mc:AlternateContent>
    <mc:AlternateContent xmlns:mc="http://schemas.openxmlformats.org/markup-compatibility/2006">
      <mc:Choice Requires="x14">
        <control shapeId="11265" r:id="rId5" name="OptionButton1">
          <controlPr defaultSize="0" autoLine="0" r:id="rId6">
            <anchor moveWithCells="1">
              <from>
                <xdr:col>4</xdr:col>
                <xdr:colOff>114300</xdr:colOff>
                <xdr:row>2</xdr:row>
                <xdr:rowOff>171450</xdr:rowOff>
              </from>
              <to>
                <xdr:col>5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11265" r:id="rId5" name="OptionButton1"/>
      </mc:Fallback>
    </mc:AlternateContent>
    <mc:AlternateContent xmlns:mc="http://schemas.openxmlformats.org/markup-compatibility/2006">
      <mc:Choice Requires="x14">
        <control shapeId="11267" r:id="rId7" name="Button 3">
          <controlPr defaultSize="0" print="0" autoFill="0" autoPict="0" macro="[0]!Gohome">
            <anchor moveWithCells="1" sizeWithCells="1">
              <from>
                <xdr:col>8</xdr:col>
                <xdr:colOff>19050</xdr:colOff>
                <xdr:row>2</xdr:row>
                <xdr:rowOff>25400</xdr:rowOff>
              </from>
              <to>
                <xdr:col>9</xdr:col>
                <xdr:colOff>393700</xdr:colOff>
                <xdr:row>3</xdr:row>
                <xdr:rowOff>209550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D16"/>
  <sheetViews>
    <sheetView workbookViewId="0">
      <selection activeCell="I9" sqref="I9"/>
    </sheetView>
  </sheetViews>
  <sheetFormatPr defaultRowHeight="17" x14ac:dyDescent="0.4"/>
  <cols>
    <col min="1" max="1" width="22.1796875" bestFit="1" customWidth="1"/>
    <col min="4" max="4" width="9.1796875" bestFit="1" customWidth="1"/>
  </cols>
  <sheetData>
    <row r="1" spans="1:4" x14ac:dyDescent="0.4">
      <c r="A1" t="s">
        <v>25</v>
      </c>
    </row>
    <row r="2" spans="1:4" x14ac:dyDescent="0.4">
      <c r="A2" t="s">
        <v>1</v>
      </c>
    </row>
    <row r="4" spans="1:4" x14ac:dyDescent="0.4">
      <c r="A4" t="s">
        <v>2</v>
      </c>
      <c r="B4" s="1">
        <v>100</v>
      </c>
    </row>
    <row r="5" spans="1:4" x14ac:dyDescent="0.4">
      <c r="A5" t="s">
        <v>3</v>
      </c>
      <c r="B5" s="1">
        <v>100</v>
      </c>
      <c r="D5" t="s">
        <v>36</v>
      </c>
    </row>
    <row r="6" spans="1:4" x14ac:dyDescent="0.4">
      <c r="A6" t="s">
        <v>38</v>
      </c>
      <c r="B6" s="1">
        <v>80</v>
      </c>
      <c r="D6">
        <v>35.185261185912402</v>
      </c>
    </row>
    <row r="7" spans="1:4" x14ac:dyDescent="0.4">
      <c r="A7" t="s">
        <v>5</v>
      </c>
      <c r="B7" s="2">
        <v>0.08</v>
      </c>
    </row>
    <row r="9" spans="1:4" x14ac:dyDescent="0.4">
      <c r="A9" t="s">
        <v>4</v>
      </c>
      <c r="B9" s="2">
        <v>0.03</v>
      </c>
    </row>
    <row r="10" spans="1:4" x14ac:dyDescent="0.4">
      <c r="A10" t="s">
        <v>7</v>
      </c>
      <c r="B10" s="3">
        <v>0</v>
      </c>
    </row>
    <row r="11" spans="1:4" x14ac:dyDescent="0.4">
      <c r="A11" t="s">
        <v>6</v>
      </c>
      <c r="B11" s="3">
        <v>0.5</v>
      </c>
    </row>
    <row r="12" spans="1:4" x14ac:dyDescent="0.4">
      <c r="A12" t="s">
        <v>8</v>
      </c>
      <c r="B12" s="3">
        <f>B11-B10</f>
        <v>0.5</v>
      </c>
    </row>
    <row r="13" spans="1:4" x14ac:dyDescent="0.4">
      <c r="A13" t="s">
        <v>9</v>
      </c>
      <c r="B13" s="2">
        <v>0.2</v>
      </c>
    </row>
    <row r="14" spans="1:4" x14ac:dyDescent="0.4">
      <c r="D14" t="s">
        <v>37</v>
      </c>
    </row>
    <row r="15" spans="1:4" x14ac:dyDescent="0.4">
      <c r="D15">
        <f>cashornothing(1,B4,2,100,B7,B9,B12,B13)</f>
        <v>96.078943915232315</v>
      </c>
    </row>
    <row r="16" spans="1:4" x14ac:dyDescent="0.4">
      <c r="D16" t="e">
        <f>bsd</f>
        <v>#NAME?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OptionButton4">
          <controlPr defaultSize="0" autoLine="0" r:id="rId4">
            <anchor moveWithCells="1">
              <from>
                <xdr:col>5</xdr:col>
                <xdr:colOff>6350</xdr:colOff>
                <xdr:row>7</xdr:row>
                <xdr:rowOff>196850</xdr:rowOff>
              </from>
              <to>
                <xdr:col>7</xdr:col>
                <xdr:colOff>444500</xdr:colOff>
                <xdr:row>9</xdr:row>
                <xdr:rowOff>19050</xdr:rowOff>
              </to>
            </anchor>
          </controlPr>
        </control>
      </mc:Choice>
      <mc:Fallback>
        <control shapeId="21508" r:id="rId3" name="OptionButton4"/>
      </mc:Fallback>
    </mc:AlternateContent>
    <mc:AlternateContent xmlns:mc="http://schemas.openxmlformats.org/markup-compatibility/2006">
      <mc:Choice Requires="x14">
        <control shapeId="21507" r:id="rId5" name="OptionButton3">
          <controlPr defaultSize="0" autoLine="0" r:id="rId6">
            <anchor moveWithCells="1">
              <from>
                <xdr:col>5</xdr:col>
                <xdr:colOff>19050</xdr:colOff>
                <xdr:row>6</xdr:row>
                <xdr:rowOff>69850</xdr:rowOff>
              </from>
              <to>
                <xdr:col>7</xdr:col>
                <xdr:colOff>457200</xdr:colOff>
                <xdr:row>7</xdr:row>
                <xdr:rowOff>107950</xdr:rowOff>
              </to>
            </anchor>
          </controlPr>
        </control>
      </mc:Choice>
      <mc:Fallback>
        <control shapeId="21507" r:id="rId5" name="OptionButton3"/>
      </mc:Fallback>
    </mc:AlternateContent>
    <mc:AlternateContent xmlns:mc="http://schemas.openxmlformats.org/markup-compatibility/2006">
      <mc:Choice Requires="x14">
        <control shapeId="21506" r:id="rId7" name="OptionButton2">
          <controlPr defaultSize="0" autoLine="0" r:id="rId8">
            <anchor moveWithCells="1">
              <from>
                <xdr:col>5</xdr:col>
                <xdr:colOff>19050</xdr:colOff>
                <xdr:row>4</xdr:row>
                <xdr:rowOff>165100</xdr:rowOff>
              </from>
              <to>
                <xdr:col>7</xdr:col>
                <xdr:colOff>203200</xdr:colOff>
                <xdr:row>5</xdr:row>
                <xdr:rowOff>152400</xdr:rowOff>
              </to>
            </anchor>
          </controlPr>
        </control>
      </mc:Choice>
      <mc:Fallback>
        <control shapeId="21506" r:id="rId7" name="OptionButton2"/>
      </mc:Fallback>
    </mc:AlternateContent>
    <mc:AlternateContent xmlns:mc="http://schemas.openxmlformats.org/markup-compatibility/2006">
      <mc:Choice Requires="x14">
        <control shapeId="21505" r:id="rId9" name="OptionButton1">
          <controlPr defaultSize="0" autoLine="0" r:id="rId10">
            <anchor moveWithCells="1">
              <from>
                <xdr:col>5</xdr:col>
                <xdr:colOff>12700</xdr:colOff>
                <xdr:row>3</xdr:row>
                <xdr:rowOff>19050</xdr:rowOff>
              </from>
              <to>
                <xdr:col>7</xdr:col>
                <xdr:colOff>450850</xdr:colOff>
                <xdr:row>4</xdr:row>
                <xdr:rowOff>57150</xdr:rowOff>
              </to>
            </anchor>
          </controlPr>
        </control>
      </mc:Choice>
      <mc:Fallback>
        <control shapeId="21505" r:id="rId9" name="OptionButton1"/>
      </mc:Fallback>
    </mc:AlternateContent>
    <mc:AlternateContent xmlns:mc="http://schemas.openxmlformats.org/markup-compatibility/2006">
      <mc:Choice Requires="x14">
        <control shapeId="21509" r:id="rId11" name="Button 5">
          <controlPr defaultSize="0" print="0" autoFill="0" autoPict="0" macro="[0]!Gohome">
            <anchor moveWithCells="1" sizeWithCells="1">
              <from>
                <xdr:col>9</xdr:col>
                <xdr:colOff>19050</xdr:colOff>
                <xdr:row>3</xdr:row>
                <xdr:rowOff>6350</xdr:rowOff>
              </from>
              <to>
                <xdr:col>10</xdr:col>
                <xdr:colOff>508000</xdr:colOff>
                <xdr:row>4</xdr:row>
                <xdr:rowOff>196850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UserForm</vt:lpstr>
      <vt:lpstr>Home</vt:lpstr>
      <vt:lpstr>Excel</vt:lpstr>
      <vt:lpstr>Vba_Function</vt:lpstr>
      <vt:lpstr>Vba_Sub</vt:lpstr>
      <vt:lpstr>Chart</vt:lpstr>
      <vt:lpstr>Chart_Table</vt:lpstr>
      <vt:lpstr>Chart_Sub</vt:lpstr>
      <vt:lpstr>Binary_Option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2017-03-01T14:16:55Z</dcterms:created>
  <dcterms:modified xsi:type="dcterms:W3CDTF">2017-03-11T17:09:00Z</dcterms:modified>
</cp:coreProperties>
</file>