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金融商品設計與定價作業\"/>
    </mc:Choice>
  </mc:AlternateContent>
  <bookViews>
    <workbookView xWindow="0" yWindow="0" windowWidth="19200" windowHeight="6990" activeTab="3"/>
  </bookViews>
  <sheets>
    <sheet name="Home" sheetId="3" r:id="rId1"/>
    <sheet name="Simplified" sheetId="1" r:id="rId2"/>
    <sheet name="Simplified_Sub" sheetId="2" r:id="rId3"/>
    <sheet name="工作表1" sheetId="4" r:id="rId4"/>
  </sheets>
  <functionGroups builtInGroupCount="18"/>
  <definedNames>
    <definedName name="n">Simplified_Sub!$C$4</definedName>
    <definedName name="p0">Simplified_Sub!$C$6</definedName>
    <definedName name="u">Simplified_Sub!$C$5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4" l="1"/>
  <c r="B21" i="4" a="1"/>
  <c r="G15" i="4"/>
  <c r="E21" i="4" l="1"/>
  <c r="I21" i="4"/>
  <c r="M21" i="4"/>
  <c r="D22" i="4"/>
  <c r="H22" i="4"/>
  <c r="L22" i="4"/>
  <c r="C23" i="4"/>
  <c r="G23" i="4"/>
  <c r="K23" i="4"/>
  <c r="B24" i="4"/>
  <c r="F24" i="4"/>
  <c r="J24" i="4"/>
  <c r="N24" i="4"/>
  <c r="E25" i="4"/>
  <c r="I25" i="4"/>
  <c r="M25" i="4"/>
  <c r="D26" i="4"/>
  <c r="H26" i="4"/>
  <c r="L26" i="4"/>
  <c r="C27" i="4"/>
  <c r="G27" i="4"/>
  <c r="K27" i="4"/>
  <c r="B28" i="4"/>
  <c r="F28" i="4"/>
  <c r="J28" i="4"/>
  <c r="N28" i="4"/>
  <c r="E29" i="4"/>
  <c r="I29" i="4"/>
  <c r="M29" i="4"/>
  <c r="D30" i="4"/>
  <c r="H30" i="4"/>
  <c r="L30" i="4"/>
  <c r="C31" i="4"/>
  <c r="G31" i="4"/>
  <c r="K31" i="4"/>
  <c r="B32" i="4"/>
  <c r="F32" i="4"/>
  <c r="J32" i="4"/>
  <c r="N32" i="4"/>
  <c r="E33" i="4"/>
  <c r="I33" i="4"/>
  <c r="M33" i="4"/>
  <c r="G29" i="4"/>
  <c r="B30" i="4"/>
  <c r="F30" i="4"/>
  <c r="N30" i="4"/>
  <c r="I31" i="4"/>
  <c r="M31" i="4"/>
  <c r="D32" i="4"/>
  <c r="H32" i="4"/>
  <c r="C33" i="4"/>
  <c r="K33" i="4"/>
  <c r="D21" i="4"/>
  <c r="L21" i="4"/>
  <c r="G22" i="4"/>
  <c r="B23" i="4"/>
  <c r="F23" i="4"/>
  <c r="N23" i="4"/>
  <c r="E24" i="4"/>
  <c r="M24" i="4"/>
  <c r="D25" i="4"/>
  <c r="L25" i="4"/>
  <c r="C26" i="4"/>
  <c r="G26" i="4"/>
  <c r="B27" i="4"/>
  <c r="J27" i="4"/>
  <c r="E28" i="4"/>
  <c r="I28" i="4"/>
  <c r="D29" i="4"/>
  <c r="L29" i="4"/>
  <c r="C30" i="4"/>
  <c r="G30" i="4"/>
  <c r="B21" i="4"/>
  <c r="F21" i="4"/>
  <c r="J21" i="4"/>
  <c r="N21" i="4"/>
  <c r="E22" i="4"/>
  <c r="I22" i="4"/>
  <c r="M22" i="4"/>
  <c r="D23" i="4"/>
  <c r="H23" i="4"/>
  <c r="L23" i="4"/>
  <c r="C24" i="4"/>
  <c r="G24" i="4"/>
  <c r="K24" i="4"/>
  <c r="B25" i="4"/>
  <c r="F25" i="4"/>
  <c r="J25" i="4"/>
  <c r="N25" i="4"/>
  <c r="E26" i="4"/>
  <c r="I26" i="4"/>
  <c r="M26" i="4"/>
  <c r="D27" i="4"/>
  <c r="H27" i="4"/>
  <c r="L27" i="4"/>
  <c r="C28" i="4"/>
  <c r="G28" i="4"/>
  <c r="K28" i="4"/>
  <c r="B29" i="4"/>
  <c r="F29" i="4"/>
  <c r="J29" i="4"/>
  <c r="N29" i="4"/>
  <c r="E30" i="4"/>
  <c r="I30" i="4"/>
  <c r="M30" i="4"/>
  <c r="D31" i="4"/>
  <c r="H31" i="4"/>
  <c r="L31" i="4"/>
  <c r="C32" i="4"/>
  <c r="G32" i="4"/>
  <c r="K32" i="4"/>
  <c r="B33" i="4"/>
  <c r="F33" i="4"/>
  <c r="J33" i="4"/>
  <c r="N33" i="4"/>
  <c r="C21" i="4"/>
  <c r="G21" i="4"/>
  <c r="K21" i="4"/>
  <c r="B22" i="4"/>
  <c r="F22" i="4"/>
  <c r="J22" i="4"/>
  <c r="N22" i="4"/>
  <c r="E23" i="4"/>
  <c r="I23" i="4"/>
  <c r="M23" i="4"/>
  <c r="D24" i="4"/>
  <c r="H24" i="4"/>
  <c r="L24" i="4"/>
  <c r="C25" i="4"/>
  <c r="G25" i="4"/>
  <c r="K25" i="4"/>
  <c r="B26" i="4"/>
  <c r="F26" i="4"/>
  <c r="J26" i="4"/>
  <c r="N26" i="4"/>
  <c r="E27" i="4"/>
  <c r="I27" i="4"/>
  <c r="M27" i="4"/>
  <c r="D28" i="4"/>
  <c r="H28" i="4"/>
  <c r="L28" i="4"/>
  <c r="C29" i="4"/>
  <c r="K29" i="4"/>
  <c r="J30" i="4"/>
  <c r="E31" i="4"/>
  <c r="L32" i="4"/>
  <c r="G33" i="4"/>
  <c r="H21" i="4"/>
  <c r="C22" i="4"/>
  <c r="K22" i="4"/>
  <c r="J23" i="4"/>
  <c r="I24" i="4"/>
  <c r="H25" i="4"/>
  <c r="K26" i="4"/>
  <c r="F27" i="4"/>
  <c r="N27" i="4"/>
  <c r="M28" i="4"/>
  <c r="B31" i="4"/>
  <c r="E32" i="4"/>
  <c r="H33" i="4"/>
  <c r="F31" i="4"/>
  <c r="I32" i="4"/>
  <c r="L33" i="4"/>
  <c r="H29" i="4"/>
  <c r="J31" i="4"/>
  <c r="M32" i="4"/>
  <c r="K30" i="4"/>
  <c r="N31" i="4"/>
  <c r="D33" i="4"/>
  <c r="I23" i="1"/>
  <c r="I24" i="1"/>
  <c r="I25" i="1"/>
  <c r="I26" i="1"/>
  <c r="I27" i="1"/>
  <c r="I28" i="1"/>
  <c r="I29" i="1"/>
  <c r="I30" i="1"/>
  <c r="I31" i="1"/>
  <c r="I22" i="1"/>
  <c r="G23" i="1"/>
  <c r="G24" i="1"/>
  <c r="G25" i="1"/>
  <c r="G26" i="1"/>
  <c r="G27" i="1"/>
  <c r="G28" i="1"/>
  <c r="G29" i="1"/>
  <c r="G30" i="1"/>
  <c r="G31" i="1"/>
  <c r="G22" i="1"/>
  <c r="J18" i="1"/>
  <c r="I17" i="1"/>
  <c r="I18" i="1"/>
  <c r="H16" i="1"/>
  <c r="H17" i="1"/>
  <c r="H18" i="1"/>
  <c r="G15" i="1"/>
  <c r="G16" i="1"/>
  <c r="G17" i="1"/>
  <c r="G18" i="1"/>
  <c r="F14" i="1"/>
  <c r="F15" i="1"/>
  <c r="F16" i="1"/>
  <c r="F17" i="1"/>
  <c r="F18" i="1"/>
  <c r="E13" i="1"/>
  <c r="E14" i="1"/>
  <c r="E15" i="1"/>
  <c r="E16" i="1"/>
  <c r="E17" i="1"/>
  <c r="E18" i="1"/>
  <c r="D12" i="1"/>
  <c r="D13" i="1"/>
  <c r="D14" i="1"/>
  <c r="D15" i="1"/>
  <c r="D16" i="1"/>
  <c r="D17" i="1"/>
  <c r="D18" i="1"/>
  <c r="C5" i="1"/>
  <c r="C10" i="1"/>
  <c r="D10" i="1" s="1"/>
  <c r="E10" i="1" s="1"/>
  <c r="F10" i="1" s="1"/>
  <c r="G10" i="1" s="1"/>
  <c r="H10" i="1" s="1"/>
  <c r="I10" i="1" s="1"/>
  <c r="J10" i="1" s="1"/>
  <c r="K10" i="1" s="1"/>
  <c r="E23" i="1" s="1"/>
  <c r="C11" i="1"/>
  <c r="C12" i="1"/>
  <c r="C13" i="1"/>
  <c r="C15" i="1"/>
  <c r="C16" i="1"/>
  <c r="C17" i="1"/>
  <c r="C18" i="1"/>
  <c r="C9" i="1"/>
  <c r="D9" i="1" s="1"/>
  <c r="E9" i="1" s="1"/>
  <c r="F9" i="1" s="1"/>
  <c r="G9" i="1" s="1"/>
  <c r="H9" i="1" s="1"/>
  <c r="I9" i="1" s="1"/>
  <c r="J9" i="1" s="1"/>
  <c r="K9" i="1" s="1"/>
  <c r="E22" i="1" s="1"/>
  <c r="D11" i="1" l="1"/>
  <c r="E11" i="1" l="1"/>
  <c r="F11" i="1" s="1"/>
  <c r="G11" i="1" s="1"/>
  <c r="H11" i="1" s="1"/>
  <c r="I11" i="1" s="1"/>
  <c r="J11" i="1" s="1"/>
  <c r="K11" i="1" s="1"/>
  <c r="E24" i="1" s="1"/>
  <c r="E12" i="1"/>
  <c r="F12" i="1" l="1"/>
  <c r="G12" i="1" s="1"/>
  <c r="H12" i="1" s="1"/>
  <c r="I12" i="1" s="1"/>
  <c r="J12" i="1" s="1"/>
  <c r="K12" i="1" s="1"/>
  <c r="E25" i="1" s="1"/>
  <c r="F13" i="1"/>
  <c r="G13" i="1" l="1"/>
  <c r="H13" i="1" s="1"/>
  <c r="I13" i="1" s="1"/>
  <c r="J13" i="1" s="1"/>
  <c r="K13" i="1" s="1"/>
  <c r="E26" i="1" s="1"/>
  <c r="G14" i="1"/>
  <c r="H15" i="1" l="1"/>
  <c r="H14" i="1"/>
  <c r="I14" i="1" s="1"/>
  <c r="J14" i="1" s="1"/>
  <c r="K14" i="1" s="1"/>
  <c r="E27" i="1" s="1"/>
  <c r="I15" i="1" l="1"/>
  <c r="J15" i="1" s="1"/>
  <c r="K15" i="1" s="1"/>
  <c r="E28" i="1" s="1"/>
  <c r="I16" i="1"/>
  <c r="J16" i="1" l="1"/>
  <c r="K16" i="1" s="1"/>
  <c r="E29" i="1" s="1"/>
  <c r="J17" i="1"/>
  <c r="K17" i="1" l="1"/>
  <c r="E30" i="1" s="1"/>
  <c r="K18" i="1"/>
  <c r="E31" i="1" s="1"/>
</calcChain>
</file>

<file path=xl/sharedStrings.xml><?xml version="1.0" encoding="utf-8"?>
<sst xmlns="http://schemas.openxmlformats.org/spreadsheetml/2006/main" count="31" uniqueCount="27">
  <si>
    <t>Option1.XLS</t>
    <phoneticPr fontId="1" type="noConversion"/>
  </si>
  <si>
    <t>Adapted JR Binomial Distribution</t>
    <phoneticPr fontId="1" type="noConversion"/>
  </si>
  <si>
    <t>nstep</t>
    <phoneticPr fontId="1" type="noConversion"/>
  </si>
  <si>
    <t>step size</t>
    <phoneticPr fontId="1" type="noConversion"/>
  </si>
  <si>
    <t>p</t>
    <phoneticPr fontId="1" type="noConversion"/>
  </si>
  <si>
    <t>#of up steps</t>
    <phoneticPr fontId="1" type="noConversion"/>
  </si>
  <si>
    <t>End Price</t>
    <phoneticPr fontId="1" type="noConversion"/>
  </si>
  <si>
    <t>#Paths</t>
    <phoneticPr fontId="1" type="noConversion"/>
  </si>
  <si>
    <t>Binomial Probs</t>
    <phoneticPr fontId="1" type="noConversion"/>
  </si>
  <si>
    <t>p0</t>
    <phoneticPr fontId="1" type="noConversion"/>
  </si>
  <si>
    <t>steps in tree</t>
    <phoneticPr fontId="1" type="noConversion"/>
  </si>
  <si>
    <t>iopt</t>
    <phoneticPr fontId="1" type="noConversion"/>
  </si>
  <si>
    <t>option type</t>
    <phoneticPr fontId="1" type="noConversion"/>
  </si>
  <si>
    <t>call</t>
    <phoneticPr fontId="1" type="noConversion"/>
  </si>
  <si>
    <t>BS value</t>
    <phoneticPr fontId="1" type="noConversion"/>
  </si>
  <si>
    <t>via fn</t>
    <phoneticPr fontId="1" type="noConversion"/>
  </si>
  <si>
    <t>Option2.XLS</t>
  </si>
  <si>
    <t>Black-Scholes Formulas(extended to allow for continuous dividends)</t>
  </si>
  <si>
    <t>Share price(S)</t>
  </si>
  <si>
    <t>Exercise price(X)</t>
  </si>
  <si>
    <t>Int rate-cont(r)</t>
  </si>
  <si>
    <t>Dividend yield(q)</t>
  </si>
  <si>
    <t>Time now(0, years)</t>
  </si>
  <si>
    <t>Time maturity(T, years)</t>
  </si>
  <si>
    <t>Option life(T, years)</t>
  </si>
  <si>
    <t>Volatility</t>
  </si>
  <si>
    <t xml:space="preserve">oil value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</si>
</sst>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);[Red]\(0.00\)"/>
    <numFmt numFmtId="177" formatCode="0.00_ ;[Red]\-0.00\ "/>
  </numFmts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3</xdr:row>
          <xdr:rowOff>209550</xdr:rowOff>
        </xdr:from>
        <xdr:to>
          <xdr:col>9</xdr:col>
          <xdr:colOff>603250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Binomial Tree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</xdr:row>
          <xdr:rowOff>12700</xdr:rowOff>
        </xdr:from>
        <xdr:to>
          <xdr:col>9</xdr:col>
          <xdr:colOff>304800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4</xdr:row>
          <xdr:rowOff>6350</xdr:rowOff>
        </xdr:from>
        <xdr:to>
          <xdr:col>6</xdr:col>
          <xdr:colOff>139700</xdr:colOff>
          <xdr:row>5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Draw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4</xdr:row>
          <xdr:rowOff>0</xdr:rowOff>
        </xdr:from>
        <xdr:to>
          <xdr:col>9</xdr:col>
          <xdr:colOff>209550</xdr:colOff>
          <xdr:row>5</xdr:row>
          <xdr:rowOff>196850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1</xdr:row>
          <xdr:rowOff>25400</xdr:rowOff>
        </xdr:from>
        <xdr:to>
          <xdr:col>9</xdr:col>
          <xdr:colOff>184150</xdr:colOff>
          <xdr:row>3</xdr:row>
          <xdr:rowOff>6350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See Funtions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"/>
  <sheetViews>
    <sheetView workbookViewId="0"/>
  </sheetViews>
  <sheetFormatPr defaultRowHeight="17" x14ac:dyDescent="0.4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inomial_Tree_Userform">
                <anchor moveWithCells="1" sizeWithCells="1">
                  <from>
                    <xdr:col>4</xdr:col>
                    <xdr:colOff>6350</xdr:colOff>
                    <xdr:row>3</xdr:row>
                    <xdr:rowOff>209550</xdr:rowOff>
                  </from>
                  <to>
                    <xdr:col>9</xdr:col>
                    <xdr:colOff>603250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31"/>
  <sheetViews>
    <sheetView workbookViewId="0">
      <selection activeCell="D4" sqref="D4"/>
    </sheetView>
  </sheetViews>
  <sheetFormatPr defaultRowHeight="17" x14ac:dyDescent="0.4"/>
  <cols>
    <col min="3" max="3" width="9.453125" customWidth="1"/>
    <col min="7" max="7" width="9.1796875" bestFit="1" customWidth="1"/>
  </cols>
  <sheetData>
    <row r="1" spans="1:11" x14ac:dyDescent="0.4">
      <c r="A1" t="s">
        <v>0</v>
      </c>
    </row>
    <row r="2" spans="1:11" x14ac:dyDescent="0.4">
      <c r="A2" t="s">
        <v>1</v>
      </c>
    </row>
    <row r="4" spans="1:11" x14ac:dyDescent="0.4">
      <c r="B4" t="s">
        <v>2</v>
      </c>
      <c r="C4">
        <v>9</v>
      </c>
    </row>
    <row r="5" spans="1:11" x14ac:dyDescent="0.4">
      <c r="B5" t="s">
        <v>3</v>
      </c>
      <c r="C5" s="2">
        <f>1/3</f>
        <v>0.33333333333333331</v>
      </c>
    </row>
    <row r="6" spans="1:11" x14ac:dyDescent="0.4">
      <c r="B6" t="s">
        <v>4</v>
      </c>
      <c r="C6">
        <v>0.5</v>
      </c>
    </row>
    <row r="8" spans="1:11" x14ac:dyDescent="0.4">
      <c r="B8">
        <v>0</v>
      </c>
      <c r="C8">
        <v>1</v>
      </c>
      <c r="D8">
        <v>2</v>
      </c>
      <c r="E8">
        <v>3</v>
      </c>
      <c r="F8">
        <v>4</v>
      </c>
      <c r="G8">
        <v>5</v>
      </c>
      <c r="H8">
        <v>6</v>
      </c>
      <c r="I8">
        <v>7</v>
      </c>
      <c r="J8">
        <v>8</v>
      </c>
      <c r="K8">
        <v>9</v>
      </c>
    </row>
    <row r="9" spans="1:11" x14ac:dyDescent="0.4">
      <c r="A9">
        <v>0</v>
      </c>
      <c r="B9" s="1">
        <v>0</v>
      </c>
      <c r="C9" s="2">
        <f ca="1">IF($A9&lt;C$8,OFFSET(C9,0,-1)+$C$5,IF($A9=C$8,OFFSET(C9,-1,-1)-$C$5,""))</f>
        <v>0.33333333333333331</v>
      </c>
      <c r="D9" s="2">
        <f t="shared" ref="D9:J9" ca="1" si="0">IF($A9&lt;D$8,OFFSET(D9,0,-1)+$C$5,IF($A9=D$8,OFFSET(D9,-1,-1)-$C$5,""))</f>
        <v>0.66666666666666663</v>
      </c>
      <c r="E9" s="2">
        <f t="shared" ca="1" si="0"/>
        <v>1</v>
      </c>
      <c r="F9" s="2">
        <f t="shared" ca="1" si="0"/>
        <v>1.3333333333333333</v>
      </c>
      <c r="G9" s="2">
        <f t="shared" ca="1" si="0"/>
        <v>1.6666666666666665</v>
      </c>
      <c r="H9" s="2">
        <f t="shared" ca="1" si="0"/>
        <v>1.9999999999999998</v>
      </c>
      <c r="I9" s="2">
        <f t="shared" ca="1" si="0"/>
        <v>2.333333333333333</v>
      </c>
      <c r="J9" s="2">
        <f t="shared" ca="1" si="0"/>
        <v>2.6666666666666665</v>
      </c>
      <c r="K9" s="2">
        <f ca="1">IF($A9&lt;K$8,OFFSET(K9,0,-1)+$C$5,IF($A9=K$8,OFFSET(K9,-1,-1)-$C$5,""))</f>
        <v>3</v>
      </c>
    </row>
    <row r="10" spans="1:11" x14ac:dyDescent="0.4">
      <c r="A10">
        <v>1</v>
      </c>
      <c r="B10" s="1"/>
      <c r="C10" s="2">
        <f t="shared" ref="C10:K18" ca="1" si="1">IF($A10&lt;C$8,OFFSET(C10,0,-1)+$C$5,IF($A10=C$8,OFFSET(C10,-1,-1)-$C$5,""))</f>
        <v>-0.33333333333333331</v>
      </c>
      <c r="D10" s="2">
        <f t="shared" ca="1" si="1"/>
        <v>0</v>
      </c>
      <c r="E10" s="2">
        <f t="shared" ca="1" si="1"/>
        <v>0.33333333333333331</v>
      </c>
      <c r="F10" s="2">
        <f t="shared" ca="1" si="1"/>
        <v>0.66666666666666663</v>
      </c>
      <c r="G10" s="2">
        <f t="shared" ca="1" si="1"/>
        <v>1</v>
      </c>
      <c r="H10" s="2">
        <f t="shared" ca="1" si="1"/>
        <v>1.3333333333333333</v>
      </c>
      <c r="I10" s="2">
        <f t="shared" ca="1" si="1"/>
        <v>1.6666666666666665</v>
      </c>
      <c r="J10" s="2">
        <f t="shared" ca="1" si="1"/>
        <v>1.9999999999999998</v>
      </c>
      <c r="K10" s="2">
        <f t="shared" ca="1" si="1"/>
        <v>2.333333333333333</v>
      </c>
    </row>
    <row r="11" spans="1:11" x14ac:dyDescent="0.4">
      <c r="A11">
        <v>2</v>
      </c>
      <c r="B11" s="1"/>
      <c r="C11" s="2" t="str">
        <f t="shared" ca="1" si="1"/>
        <v/>
      </c>
      <c r="D11" s="2">
        <f t="shared" ca="1" si="1"/>
        <v>-0.66666666666666663</v>
      </c>
      <c r="E11" s="2">
        <f t="shared" ca="1" si="1"/>
        <v>-0.33333333333333331</v>
      </c>
      <c r="F11" s="2">
        <f t="shared" ca="1" si="1"/>
        <v>0</v>
      </c>
      <c r="G11" s="2">
        <f t="shared" ca="1" si="1"/>
        <v>0.33333333333333331</v>
      </c>
      <c r="H11" s="2">
        <f t="shared" ca="1" si="1"/>
        <v>0.66666666666666663</v>
      </c>
      <c r="I11" s="2">
        <f t="shared" ca="1" si="1"/>
        <v>1</v>
      </c>
      <c r="J11" s="2">
        <f t="shared" ca="1" si="1"/>
        <v>1.3333333333333333</v>
      </c>
      <c r="K11" s="2">
        <f t="shared" ca="1" si="1"/>
        <v>1.6666666666666665</v>
      </c>
    </row>
    <row r="12" spans="1:11" x14ac:dyDescent="0.4">
      <c r="A12">
        <v>3</v>
      </c>
      <c r="B12" s="1"/>
      <c r="C12" s="2" t="str">
        <f t="shared" ca="1" si="1"/>
        <v/>
      </c>
      <c r="D12" s="2" t="str">
        <f t="shared" ca="1" si="1"/>
        <v/>
      </c>
      <c r="E12" s="2">
        <f t="shared" ca="1" si="1"/>
        <v>-1</v>
      </c>
      <c r="F12" s="2">
        <f t="shared" ca="1" si="1"/>
        <v>-0.66666666666666674</v>
      </c>
      <c r="G12" s="2">
        <f t="shared" ca="1" si="1"/>
        <v>-0.33333333333333343</v>
      </c>
      <c r="H12" s="2">
        <f t="shared" ca="1" si="1"/>
        <v>-1.1102230246251565E-16</v>
      </c>
      <c r="I12" s="2">
        <f t="shared" ca="1" si="1"/>
        <v>0.3333333333333332</v>
      </c>
      <c r="J12" s="2">
        <f t="shared" ca="1" si="1"/>
        <v>0.66666666666666652</v>
      </c>
      <c r="K12" s="2">
        <f t="shared" ca="1" si="1"/>
        <v>0.99999999999999978</v>
      </c>
    </row>
    <row r="13" spans="1:11" x14ac:dyDescent="0.4">
      <c r="A13">
        <v>4</v>
      </c>
      <c r="B13" s="1"/>
      <c r="C13" s="2" t="str">
        <f t="shared" ca="1" si="1"/>
        <v/>
      </c>
      <c r="D13" s="2" t="str">
        <f t="shared" ca="1" si="1"/>
        <v/>
      </c>
      <c r="E13" s="2" t="str">
        <f t="shared" ca="1" si="1"/>
        <v/>
      </c>
      <c r="F13" s="2">
        <f t="shared" ca="1" si="1"/>
        <v>-1.3333333333333333</v>
      </c>
      <c r="G13" s="2">
        <f t="shared" ca="1" si="1"/>
        <v>-1</v>
      </c>
      <c r="H13" s="2">
        <f t="shared" ca="1" si="1"/>
        <v>-0.66666666666666674</v>
      </c>
      <c r="I13" s="2">
        <f t="shared" ca="1" si="1"/>
        <v>-0.33333333333333343</v>
      </c>
      <c r="J13" s="2">
        <f t="shared" ca="1" si="1"/>
        <v>-1.1102230246251565E-16</v>
      </c>
      <c r="K13" s="2">
        <f t="shared" ca="1" si="1"/>
        <v>0.3333333333333332</v>
      </c>
    </row>
    <row r="14" spans="1:11" x14ac:dyDescent="0.4">
      <c r="A14">
        <v>5</v>
      </c>
      <c r="B14" s="1"/>
      <c r="C14" s="2"/>
      <c r="D14" s="2" t="str">
        <f t="shared" ca="1" si="1"/>
        <v/>
      </c>
      <c r="E14" s="2" t="str">
        <f t="shared" ca="1" si="1"/>
        <v/>
      </c>
      <c r="F14" s="2" t="str">
        <f t="shared" ca="1" si="1"/>
        <v/>
      </c>
      <c r="G14" s="2">
        <f t="shared" ca="1" si="1"/>
        <v>-1.6666666666666665</v>
      </c>
      <c r="H14" s="2">
        <f t="shared" ca="1" si="1"/>
        <v>-1.3333333333333333</v>
      </c>
      <c r="I14" s="2">
        <f t="shared" ca="1" si="1"/>
        <v>-1</v>
      </c>
      <c r="J14" s="2">
        <f t="shared" ca="1" si="1"/>
        <v>-0.66666666666666674</v>
      </c>
      <c r="K14" s="2">
        <f t="shared" ca="1" si="1"/>
        <v>-0.33333333333333343</v>
      </c>
    </row>
    <row r="15" spans="1:11" x14ac:dyDescent="0.4">
      <c r="A15">
        <v>6</v>
      </c>
      <c r="B15" s="1"/>
      <c r="C15" s="2" t="str">
        <f t="shared" ca="1" si="1"/>
        <v/>
      </c>
      <c r="D15" s="2" t="str">
        <f t="shared" ca="1" si="1"/>
        <v/>
      </c>
      <c r="E15" s="2" t="str">
        <f t="shared" ca="1" si="1"/>
        <v/>
      </c>
      <c r="F15" s="2" t="str">
        <f t="shared" ca="1" si="1"/>
        <v/>
      </c>
      <c r="G15" s="2" t="str">
        <f t="shared" ca="1" si="1"/>
        <v/>
      </c>
      <c r="H15" s="2">
        <f t="shared" ca="1" si="1"/>
        <v>-1.9999999999999998</v>
      </c>
      <c r="I15" s="2">
        <f t="shared" ca="1" si="1"/>
        <v>-1.6666666666666665</v>
      </c>
      <c r="J15" s="2">
        <f t="shared" ca="1" si="1"/>
        <v>-1.3333333333333333</v>
      </c>
      <c r="K15" s="2">
        <f t="shared" ca="1" si="1"/>
        <v>-1</v>
      </c>
    </row>
    <row r="16" spans="1:11" x14ac:dyDescent="0.4">
      <c r="A16">
        <v>7</v>
      </c>
      <c r="B16" s="1"/>
      <c r="C16" s="2" t="str">
        <f t="shared" ca="1" si="1"/>
        <v/>
      </c>
      <c r="D16" s="2" t="str">
        <f t="shared" ca="1" si="1"/>
        <v/>
      </c>
      <c r="E16" s="2" t="str">
        <f t="shared" ca="1" si="1"/>
        <v/>
      </c>
      <c r="F16" s="2" t="str">
        <f t="shared" ca="1" si="1"/>
        <v/>
      </c>
      <c r="G16" s="2" t="str">
        <f t="shared" ca="1" si="1"/>
        <v/>
      </c>
      <c r="H16" s="2" t="str">
        <f t="shared" ca="1" si="1"/>
        <v/>
      </c>
      <c r="I16" s="2">
        <f t="shared" ca="1" si="1"/>
        <v>-2.333333333333333</v>
      </c>
      <c r="J16" s="2">
        <f t="shared" ca="1" si="1"/>
        <v>-1.9999999999999998</v>
      </c>
      <c r="K16" s="2">
        <f t="shared" ca="1" si="1"/>
        <v>-1.6666666666666665</v>
      </c>
    </row>
    <row r="17" spans="1:11" x14ac:dyDescent="0.4">
      <c r="A17">
        <v>8</v>
      </c>
      <c r="B17" s="1"/>
      <c r="C17" s="2" t="str">
        <f t="shared" ca="1" si="1"/>
        <v/>
      </c>
      <c r="D17" s="2" t="str">
        <f t="shared" ca="1" si="1"/>
        <v/>
      </c>
      <c r="E17" s="2" t="str">
        <f t="shared" ca="1" si="1"/>
        <v/>
      </c>
      <c r="F17" s="2" t="str">
        <f t="shared" ca="1" si="1"/>
        <v/>
      </c>
      <c r="G17" s="2" t="str">
        <f t="shared" ca="1" si="1"/>
        <v/>
      </c>
      <c r="H17" s="2" t="str">
        <f t="shared" ca="1" si="1"/>
        <v/>
      </c>
      <c r="I17" s="2" t="str">
        <f t="shared" ca="1" si="1"/>
        <v/>
      </c>
      <c r="J17" s="2">
        <f t="shared" ca="1" si="1"/>
        <v>-2.6666666666666665</v>
      </c>
      <c r="K17" s="2">
        <f t="shared" ca="1" si="1"/>
        <v>-2.333333333333333</v>
      </c>
    </row>
    <row r="18" spans="1:11" x14ac:dyDescent="0.4">
      <c r="A18">
        <v>9</v>
      </c>
      <c r="B18" s="1"/>
      <c r="C18" s="2" t="str">
        <f t="shared" ca="1" si="1"/>
        <v/>
      </c>
      <c r="D18" s="2" t="str">
        <f t="shared" ca="1" si="1"/>
        <v/>
      </c>
      <c r="E18" s="2" t="str">
        <f t="shared" ca="1" si="1"/>
        <v/>
      </c>
      <c r="F18" s="2" t="str">
        <f t="shared" ca="1" si="1"/>
        <v/>
      </c>
      <c r="G18" s="2" t="str">
        <f t="shared" ca="1" si="1"/>
        <v/>
      </c>
      <c r="H18" s="2" t="str">
        <f t="shared" ca="1" si="1"/>
        <v/>
      </c>
      <c r="I18" s="2" t="str">
        <f t="shared" ca="1" si="1"/>
        <v/>
      </c>
      <c r="J18" s="2" t="str">
        <f t="shared" ca="1" si="1"/>
        <v/>
      </c>
      <c r="K18" s="2">
        <f t="shared" ca="1" si="1"/>
        <v>-3</v>
      </c>
    </row>
    <row r="21" spans="1:11" x14ac:dyDescent="0.4">
      <c r="C21" t="s">
        <v>5</v>
      </c>
      <c r="E21" t="s">
        <v>6</v>
      </c>
      <c r="G21" t="s">
        <v>7</v>
      </c>
      <c r="I21" t="s">
        <v>8</v>
      </c>
    </row>
    <row r="22" spans="1:11" x14ac:dyDescent="0.4">
      <c r="C22">
        <v>9</v>
      </c>
      <c r="E22" s="2">
        <f t="shared" ref="E22:E31" ca="1" si="2">K9</f>
        <v>3</v>
      </c>
      <c r="G22">
        <f>COMBIN($C$4,C22)</f>
        <v>1</v>
      </c>
      <c r="I22">
        <f>G22*($C$6^$C$4)</f>
        <v>1.953125E-3</v>
      </c>
    </row>
    <row r="23" spans="1:11" x14ac:dyDescent="0.4">
      <c r="C23">
        <v>8</v>
      </c>
      <c r="E23" s="2">
        <f t="shared" ca="1" si="2"/>
        <v>2.333333333333333</v>
      </c>
      <c r="G23">
        <f t="shared" ref="G23:G31" si="3">COMBIN($C$4,C23)</f>
        <v>9</v>
      </c>
      <c r="I23">
        <f t="shared" ref="I23:I31" si="4">G23*($C$6^$C$4)</f>
        <v>1.7578125E-2</v>
      </c>
    </row>
    <row r="24" spans="1:11" x14ac:dyDescent="0.4">
      <c r="C24">
        <v>7</v>
      </c>
      <c r="E24" s="2">
        <f t="shared" ca="1" si="2"/>
        <v>1.6666666666666665</v>
      </c>
      <c r="G24">
        <f t="shared" si="3"/>
        <v>36</v>
      </c>
      <c r="I24">
        <f t="shared" si="4"/>
        <v>7.03125E-2</v>
      </c>
    </row>
    <row r="25" spans="1:11" x14ac:dyDescent="0.4">
      <c r="C25">
        <v>6</v>
      </c>
      <c r="E25" s="2">
        <f t="shared" ca="1" si="2"/>
        <v>0.99999999999999978</v>
      </c>
      <c r="G25">
        <f t="shared" si="3"/>
        <v>83.999999999999986</v>
      </c>
      <c r="I25">
        <f t="shared" si="4"/>
        <v>0.16406249999999997</v>
      </c>
    </row>
    <row r="26" spans="1:11" x14ac:dyDescent="0.4">
      <c r="C26">
        <v>5</v>
      </c>
      <c r="E26" s="2">
        <f t="shared" ca="1" si="2"/>
        <v>0.3333333333333332</v>
      </c>
      <c r="G26">
        <f t="shared" si="3"/>
        <v>126</v>
      </c>
      <c r="I26">
        <f t="shared" si="4"/>
        <v>0.24609375</v>
      </c>
    </row>
    <row r="27" spans="1:11" x14ac:dyDescent="0.4">
      <c r="C27">
        <v>4</v>
      </c>
      <c r="E27" s="2">
        <f t="shared" ca="1" si="2"/>
        <v>-0.33333333333333343</v>
      </c>
      <c r="G27">
        <f t="shared" si="3"/>
        <v>126</v>
      </c>
      <c r="I27">
        <f t="shared" si="4"/>
        <v>0.24609375</v>
      </c>
    </row>
    <row r="28" spans="1:11" x14ac:dyDescent="0.4">
      <c r="C28">
        <v>3</v>
      </c>
      <c r="E28" s="2">
        <f t="shared" ca="1" si="2"/>
        <v>-1</v>
      </c>
      <c r="G28">
        <f t="shared" si="3"/>
        <v>83.999999999999986</v>
      </c>
      <c r="I28">
        <f t="shared" si="4"/>
        <v>0.16406249999999997</v>
      </c>
    </row>
    <row r="29" spans="1:11" x14ac:dyDescent="0.4">
      <c r="C29">
        <v>2</v>
      </c>
      <c r="E29" s="2">
        <f t="shared" ca="1" si="2"/>
        <v>-1.6666666666666665</v>
      </c>
      <c r="G29">
        <f t="shared" si="3"/>
        <v>36</v>
      </c>
      <c r="I29">
        <f t="shared" si="4"/>
        <v>7.03125E-2</v>
      </c>
    </row>
    <row r="30" spans="1:11" x14ac:dyDescent="0.4">
      <c r="C30">
        <v>1</v>
      </c>
      <c r="E30" s="2">
        <f t="shared" ca="1" si="2"/>
        <v>-2.333333333333333</v>
      </c>
      <c r="G30">
        <f t="shared" si="3"/>
        <v>9</v>
      </c>
      <c r="I30">
        <f t="shared" si="4"/>
        <v>1.7578125E-2</v>
      </c>
    </row>
    <row r="31" spans="1:11" x14ac:dyDescent="0.4">
      <c r="C31">
        <v>0</v>
      </c>
      <c r="E31" s="2">
        <f t="shared" ca="1" si="2"/>
        <v>-3</v>
      </c>
      <c r="G31">
        <f t="shared" si="3"/>
        <v>1</v>
      </c>
      <c r="I31">
        <f t="shared" si="4"/>
        <v>1.953125E-3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oHome">
                <anchor moveWithCells="1" sizeWithCells="1">
                  <from>
                    <xdr:col>7</xdr:col>
                    <xdr:colOff>38100</xdr:colOff>
                    <xdr:row>3</xdr:row>
                    <xdr:rowOff>12700</xdr:rowOff>
                  </from>
                  <to>
                    <xdr:col>9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AK126"/>
  <sheetViews>
    <sheetView workbookViewId="0">
      <selection activeCell="B9" sqref="B9"/>
    </sheetView>
  </sheetViews>
  <sheetFormatPr defaultRowHeight="17" x14ac:dyDescent="0.4"/>
  <sheetData>
    <row r="1" spans="1:37" x14ac:dyDescent="0.4">
      <c r="A1" t="s">
        <v>0</v>
      </c>
    </row>
    <row r="2" spans="1:37" x14ac:dyDescent="0.4">
      <c r="A2" t="s">
        <v>1</v>
      </c>
    </row>
    <row r="4" spans="1:37" x14ac:dyDescent="0.4">
      <c r="B4" t="s">
        <v>2</v>
      </c>
      <c r="C4">
        <v>10</v>
      </c>
    </row>
    <row r="5" spans="1:37" x14ac:dyDescent="0.4">
      <c r="B5" t="s">
        <v>3</v>
      </c>
      <c r="C5" s="2">
        <v>0.316</v>
      </c>
    </row>
    <row r="6" spans="1:37" x14ac:dyDescent="0.4">
      <c r="B6" t="s">
        <v>9</v>
      </c>
      <c r="C6">
        <v>0</v>
      </c>
    </row>
    <row r="8" spans="1:37" x14ac:dyDescent="0.4">
      <c r="A8" s="3"/>
      <c r="B8" s="3">
        <v>0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x14ac:dyDescent="0.4">
      <c r="A9" s="3">
        <v>0</v>
      </c>
      <c r="B9" s="3">
        <v>0</v>
      </c>
      <c r="C9" s="3">
        <v>0.316</v>
      </c>
      <c r="D9" s="3">
        <v>0.63200000000000001</v>
      </c>
      <c r="E9" s="3">
        <v>0.94799999999999995</v>
      </c>
      <c r="F9" s="3">
        <v>1.264</v>
      </c>
      <c r="G9" s="3">
        <v>1.58</v>
      </c>
      <c r="H9" s="3">
        <v>1.8960000000000001</v>
      </c>
      <c r="I9" s="3">
        <v>2.2120000000000002</v>
      </c>
      <c r="J9" s="3">
        <v>2.528</v>
      </c>
      <c r="K9" s="3">
        <v>2.8439999999999999</v>
      </c>
      <c r="L9" s="3">
        <v>3.1599999999999997</v>
      </c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x14ac:dyDescent="0.4">
      <c r="A10" s="3">
        <v>1</v>
      </c>
      <c r="B10" s="3"/>
      <c r="C10" s="3">
        <v>-0.316</v>
      </c>
      <c r="D10" s="3">
        <v>0</v>
      </c>
      <c r="E10" s="3">
        <v>0.316</v>
      </c>
      <c r="F10" s="3">
        <v>0.6319999999999999</v>
      </c>
      <c r="G10" s="3">
        <v>0.94799999999999995</v>
      </c>
      <c r="H10" s="3">
        <v>1.264</v>
      </c>
      <c r="I10" s="3">
        <v>1.58</v>
      </c>
      <c r="J10" s="3">
        <v>1.8960000000000001</v>
      </c>
      <c r="K10" s="3">
        <v>2.2120000000000002</v>
      </c>
      <c r="L10" s="3">
        <v>2.528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x14ac:dyDescent="0.4">
      <c r="A11" s="3">
        <v>2</v>
      </c>
      <c r="B11" s="3"/>
      <c r="C11" s="3"/>
      <c r="D11" s="3">
        <v>-0.63200000000000001</v>
      </c>
      <c r="E11" s="3">
        <v>-0.316</v>
      </c>
      <c r="F11" s="3">
        <v>0</v>
      </c>
      <c r="G11" s="3">
        <v>0.31599999999999989</v>
      </c>
      <c r="H11" s="3">
        <v>0.6319999999999999</v>
      </c>
      <c r="I11" s="3">
        <v>0.94799999999999995</v>
      </c>
      <c r="J11" s="3">
        <v>1.264</v>
      </c>
      <c r="K11" s="3">
        <v>1.58</v>
      </c>
      <c r="L11" s="3">
        <v>1.8960000000000001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x14ac:dyDescent="0.4">
      <c r="A12" s="3">
        <v>3</v>
      </c>
      <c r="B12" s="3"/>
      <c r="C12" s="3"/>
      <c r="D12" s="3"/>
      <c r="E12" s="3">
        <v>-0.94799999999999995</v>
      </c>
      <c r="F12" s="3">
        <v>-0.63200000000000001</v>
      </c>
      <c r="G12" s="3">
        <v>-0.316</v>
      </c>
      <c r="H12" s="3">
        <v>-1.1102230246251565E-16</v>
      </c>
      <c r="I12" s="3">
        <v>0.31599999999999989</v>
      </c>
      <c r="J12" s="3">
        <v>0.6319999999999999</v>
      </c>
      <c r="K12" s="3">
        <v>0.94799999999999995</v>
      </c>
      <c r="L12" s="3">
        <v>1.264</v>
      </c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x14ac:dyDescent="0.4">
      <c r="A13" s="3">
        <v>4</v>
      </c>
      <c r="B13" s="3"/>
      <c r="C13" s="3"/>
      <c r="D13" s="3"/>
      <c r="E13" s="3"/>
      <c r="F13" s="3">
        <v>-1.264</v>
      </c>
      <c r="G13" s="3">
        <v>-0.94799999999999995</v>
      </c>
      <c r="H13" s="3">
        <v>-0.63200000000000001</v>
      </c>
      <c r="I13" s="3">
        <v>-0.31600000000000011</v>
      </c>
      <c r="J13" s="3">
        <v>-1.1102230246251565E-16</v>
      </c>
      <c r="K13" s="3">
        <v>0.31599999999999989</v>
      </c>
      <c r="L13" s="3">
        <v>0.6319999999999999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4">
      <c r="A14" s="3">
        <v>5</v>
      </c>
      <c r="B14" s="3"/>
      <c r="C14" s="3"/>
      <c r="D14" s="3"/>
      <c r="E14" s="3"/>
      <c r="F14" s="3"/>
      <c r="G14" s="3">
        <v>-1.58</v>
      </c>
      <c r="H14" s="3">
        <v>-1.264</v>
      </c>
      <c r="I14" s="3">
        <v>-0.94799999999999995</v>
      </c>
      <c r="J14" s="3">
        <v>-0.63200000000000012</v>
      </c>
      <c r="K14" s="3">
        <v>-0.31600000000000011</v>
      </c>
      <c r="L14" s="3">
        <v>-1.1102230246251565E-16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4">
      <c r="A15" s="3">
        <v>6</v>
      </c>
      <c r="B15" s="3"/>
      <c r="C15" s="3"/>
      <c r="D15" s="3"/>
      <c r="E15" s="3"/>
      <c r="F15" s="3"/>
      <c r="G15" s="3"/>
      <c r="H15" s="3">
        <v>-1.8960000000000001</v>
      </c>
      <c r="I15" s="3">
        <v>-1.58</v>
      </c>
      <c r="J15" s="3">
        <v>-1.264</v>
      </c>
      <c r="K15" s="3">
        <v>-0.94800000000000018</v>
      </c>
      <c r="L15" s="3">
        <v>-0.63200000000000012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4">
      <c r="A16" s="3">
        <v>7</v>
      </c>
      <c r="B16" s="3"/>
      <c r="C16" s="3"/>
      <c r="D16" s="3"/>
      <c r="E16" s="3"/>
      <c r="F16" s="3"/>
      <c r="G16" s="3"/>
      <c r="H16" s="3"/>
      <c r="I16" s="3">
        <v>-2.2120000000000002</v>
      </c>
      <c r="J16" s="3">
        <v>-1.8960000000000001</v>
      </c>
      <c r="K16" s="3">
        <v>-1.58</v>
      </c>
      <c r="L16" s="3">
        <v>-1.2640000000000002</v>
      </c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4">
      <c r="A17" s="3">
        <v>8</v>
      </c>
      <c r="B17" s="3"/>
      <c r="C17" s="3"/>
      <c r="D17" s="3"/>
      <c r="E17" s="3"/>
      <c r="F17" s="3"/>
      <c r="G17" s="3"/>
      <c r="H17" s="3"/>
      <c r="I17" s="3"/>
      <c r="J17" s="3">
        <v>-2.528</v>
      </c>
      <c r="K17" s="3">
        <v>-2.2120000000000002</v>
      </c>
      <c r="L17" s="3">
        <v>-1.8960000000000001</v>
      </c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4">
      <c r="A18" s="3">
        <v>9</v>
      </c>
      <c r="B18" s="3"/>
      <c r="C18" s="3"/>
      <c r="D18" s="3"/>
      <c r="E18" s="3"/>
      <c r="F18" s="3"/>
      <c r="G18" s="3"/>
      <c r="H18" s="3"/>
      <c r="I18" s="3"/>
      <c r="J18" s="3"/>
      <c r="K18" s="3">
        <v>-2.8439999999999999</v>
      </c>
      <c r="L18" s="3">
        <v>-2.528</v>
      </c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4">
      <c r="A19" s="3">
        <v>10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>
        <v>-3.1599999999999997</v>
      </c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4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4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4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4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4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4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4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4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4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4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4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4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4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4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4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4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4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4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4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4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4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4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4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4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4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4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4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  <row r="48" spans="1:37" x14ac:dyDescent="0.4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</row>
    <row r="49" spans="1:37" x14ac:dyDescent="0.4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</row>
    <row r="50" spans="1:37" x14ac:dyDescent="0.4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</row>
    <row r="51" spans="1:37" x14ac:dyDescent="0.4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</row>
    <row r="52" spans="1:37" x14ac:dyDescent="0.4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</row>
    <row r="53" spans="1:37" x14ac:dyDescent="0.4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</row>
    <row r="54" spans="1:37" x14ac:dyDescent="0.4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</row>
    <row r="55" spans="1:37" x14ac:dyDescent="0.4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1:37" x14ac:dyDescent="0.4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</row>
    <row r="57" spans="1:37" x14ac:dyDescent="0.4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1:37" x14ac:dyDescent="0.4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1:37" x14ac:dyDescent="0.4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1:37" x14ac:dyDescent="0.4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1:37" x14ac:dyDescent="0.4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1:37" x14ac:dyDescent="0.4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</row>
    <row r="63" spans="1:37" x14ac:dyDescent="0.4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</row>
    <row r="64" spans="1:37" x14ac:dyDescent="0.4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</row>
    <row r="65" spans="1:37" x14ac:dyDescent="0.4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</row>
    <row r="66" spans="1:37" x14ac:dyDescent="0.4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</row>
    <row r="67" spans="1:37" x14ac:dyDescent="0.4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</row>
    <row r="68" spans="1:37" x14ac:dyDescent="0.4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</row>
    <row r="69" spans="1:37" x14ac:dyDescent="0.4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</row>
    <row r="70" spans="1:37" x14ac:dyDescent="0.4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</row>
    <row r="71" spans="1:37" x14ac:dyDescent="0.4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</row>
    <row r="72" spans="1:37" x14ac:dyDescent="0.4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</row>
    <row r="73" spans="1:37" x14ac:dyDescent="0.4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</row>
    <row r="74" spans="1:37" x14ac:dyDescent="0.4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</row>
    <row r="75" spans="1:37" x14ac:dyDescent="0.4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</row>
    <row r="76" spans="1:37" x14ac:dyDescent="0.4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</row>
    <row r="77" spans="1:37" x14ac:dyDescent="0.4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</row>
    <row r="78" spans="1:37" x14ac:dyDescent="0.4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</row>
    <row r="79" spans="1:37" x14ac:dyDescent="0.4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</row>
    <row r="80" spans="1:37" x14ac:dyDescent="0.4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</row>
    <row r="81" spans="1:37" x14ac:dyDescent="0.4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</row>
    <row r="82" spans="1:37" x14ac:dyDescent="0.4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</row>
    <row r="83" spans="1:37" x14ac:dyDescent="0.4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</row>
    <row r="84" spans="1:37" x14ac:dyDescent="0.4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</row>
    <row r="85" spans="1:37" x14ac:dyDescent="0.4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</row>
    <row r="86" spans="1:37" x14ac:dyDescent="0.4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</row>
    <row r="87" spans="1:37" x14ac:dyDescent="0.4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</row>
    <row r="88" spans="1:37" x14ac:dyDescent="0.4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</row>
    <row r="89" spans="1:37" x14ac:dyDescent="0.4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</row>
    <row r="90" spans="1:37" x14ac:dyDescent="0.4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</row>
    <row r="91" spans="1:37" x14ac:dyDescent="0.4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</row>
    <row r="92" spans="1:37" x14ac:dyDescent="0.4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</row>
    <row r="93" spans="1:37" x14ac:dyDescent="0.4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</row>
    <row r="94" spans="1:37" x14ac:dyDescent="0.4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</row>
    <row r="95" spans="1:37" x14ac:dyDescent="0.4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</row>
    <row r="96" spans="1:37" x14ac:dyDescent="0.4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</row>
    <row r="97" spans="1:37" x14ac:dyDescent="0.4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</row>
    <row r="98" spans="1:37" x14ac:dyDescent="0.4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</row>
    <row r="99" spans="1:37" x14ac:dyDescent="0.4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</row>
    <row r="100" spans="1:37" x14ac:dyDescent="0.4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</row>
    <row r="101" spans="1:37" x14ac:dyDescent="0.4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</row>
    <row r="102" spans="1:37" x14ac:dyDescent="0.4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</row>
    <row r="103" spans="1:37" x14ac:dyDescent="0.4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</row>
    <row r="104" spans="1:37" x14ac:dyDescent="0.4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</row>
    <row r="105" spans="1:37" x14ac:dyDescent="0.4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</row>
    <row r="106" spans="1:37" x14ac:dyDescent="0.4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</row>
    <row r="107" spans="1:37" x14ac:dyDescent="0.4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</row>
    <row r="108" spans="1:37" x14ac:dyDescent="0.4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</row>
    <row r="109" spans="1:37" x14ac:dyDescent="0.4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</row>
    <row r="110" spans="1:37" x14ac:dyDescent="0.4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</row>
    <row r="111" spans="1:37" x14ac:dyDescent="0.4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</row>
    <row r="112" spans="1:37" x14ac:dyDescent="0.4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</row>
    <row r="113" spans="1:37" x14ac:dyDescent="0.4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</row>
    <row r="114" spans="1:37" x14ac:dyDescent="0.4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</row>
    <row r="115" spans="1:37" x14ac:dyDescent="0.4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</row>
    <row r="116" spans="1:37" x14ac:dyDescent="0.4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</row>
    <row r="117" spans="1:37" x14ac:dyDescent="0.4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</row>
    <row r="118" spans="1:37" x14ac:dyDescent="0.4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</row>
    <row r="119" spans="1:37" x14ac:dyDescent="0.4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</row>
    <row r="120" spans="1:37" x14ac:dyDescent="0.4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</row>
    <row r="121" spans="1:37" x14ac:dyDescent="0.4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</row>
    <row r="122" spans="1:37" x14ac:dyDescent="0.4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</row>
    <row r="123" spans="1:37" x14ac:dyDescent="0.4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</row>
    <row r="124" spans="1:37" x14ac:dyDescent="0.4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</row>
    <row r="125" spans="1:37" x14ac:dyDescent="0.4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</row>
    <row r="126" spans="1:37" x14ac:dyDescent="0.4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implified_Tree.Simplified_Tree">
                <anchor moveWithCells="1" sizeWithCells="1">
                  <from>
                    <xdr:col>3</xdr:col>
                    <xdr:colOff>590550</xdr:colOff>
                    <xdr:row>4</xdr:row>
                    <xdr:rowOff>6350</xdr:rowOff>
                  </from>
                  <to>
                    <xdr:col>6</xdr:col>
                    <xdr:colOff>139700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oHome">
                <anchor moveWithCells="1" sizeWithCells="1">
                  <from>
                    <xdr:col>7</xdr:col>
                    <xdr:colOff>6350</xdr:colOff>
                    <xdr:row>4</xdr:row>
                    <xdr:rowOff>0</xdr:rowOff>
                  </from>
                  <to>
                    <xdr:col>9</xdr:col>
                    <xdr:colOff>209550</xdr:colOff>
                    <xdr:row>5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o_Simplified">
                <anchor moveWithCells="1" sizeWithCells="1">
                  <from>
                    <xdr:col>7</xdr:col>
                    <xdr:colOff>6350</xdr:colOff>
                    <xdr:row>1</xdr:row>
                    <xdr:rowOff>25400</xdr:rowOff>
                  </from>
                  <to>
                    <xdr:col>9</xdr:col>
                    <xdr:colOff>184150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N33"/>
  <sheetViews>
    <sheetView tabSelected="1" topLeftCell="A4" zoomScale="85" zoomScaleNormal="85" workbookViewId="0">
      <selection activeCell="G16" sqref="G16"/>
    </sheetView>
  </sheetViews>
  <sheetFormatPr defaultRowHeight="17" x14ac:dyDescent="0.4"/>
  <cols>
    <col min="1" max="1" width="22.1796875" bestFit="1" customWidth="1"/>
    <col min="7" max="7" width="9.90625" bestFit="1" customWidth="1"/>
    <col min="15" max="15" width="9.26953125" bestFit="1" customWidth="1"/>
  </cols>
  <sheetData>
    <row r="1" spans="1:7" x14ac:dyDescent="0.4">
      <c r="A1" t="s">
        <v>16</v>
      </c>
    </row>
    <row r="2" spans="1:7" x14ac:dyDescent="0.4">
      <c r="A2" t="s">
        <v>17</v>
      </c>
    </row>
    <row r="4" spans="1:7" x14ac:dyDescent="0.4">
      <c r="A4" t="s">
        <v>18</v>
      </c>
      <c r="B4">
        <v>30</v>
      </c>
    </row>
    <row r="5" spans="1:7" x14ac:dyDescent="0.4">
      <c r="A5" t="s">
        <v>19</v>
      </c>
      <c r="B5">
        <v>25</v>
      </c>
    </row>
    <row r="6" spans="1:7" x14ac:dyDescent="0.4">
      <c r="A6" t="s">
        <v>20</v>
      </c>
      <c r="B6" s="2">
        <v>0.02</v>
      </c>
    </row>
    <row r="7" spans="1:7" x14ac:dyDescent="0.4">
      <c r="B7" s="2"/>
    </row>
    <row r="8" spans="1:7" x14ac:dyDescent="0.4">
      <c r="A8" t="s">
        <v>21</v>
      </c>
      <c r="B8" s="2">
        <v>0.01</v>
      </c>
    </row>
    <row r="9" spans="1:7" x14ac:dyDescent="0.4">
      <c r="B9" s="4"/>
    </row>
    <row r="10" spans="1:7" x14ac:dyDescent="0.4">
      <c r="A10" t="s">
        <v>22</v>
      </c>
      <c r="B10">
        <v>0</v>
      </c>
    </row>
    <row r="11" spans="1:7" x14ac:dyDescent="0.4">
      <c r="A11" t="s">
        <v>23</v>
      </c>
      <c r="B11">
        <v>1</v>
      </c>
    </row>
    <row r="12" spans="1:7" x14ac:dyDescent="0.4">
      <c r="A12" t="s">
        <v>24</v>
      </c>
      <c r="B12">
        <f>B11-B10</f>
        <v>1</v>
      </c>
    </row>
    <row r="13" spans="1:7" x14ac:dyDescent="0.4">
      <c r="A13" t="s">
        <v>25</v>
      </c>
      <c r="B13" s="2">
        <v>0.2</v>
      </c>
    </row>
    <row r="15" spans="1:7" x14ac:dyDescent="0.4">
      <c r="A15" t="s">
        <v>10</v>
      </c>
      <c r="B15">
        <v>12</v>
      </c>
      <c r="F15" t="s">
        <v>26</v>
      </c>
      <c r="G15">
        <f>binoptionvalue(0,1,1,B4,B5,B6,B8,B12,B13,B15)</f>
        <v>1905.186560643953</v>
      </c>
    </row>
    <row r="16" spans="1:7" x14ac:dyDescent="0.4">
      <c r="A16" t="s">
        <v>11</v>
      </c>
      <c r="B16">
        <v>1</v>
      </c>
    </row>
    <row r="17" spans="1:14" x14ac:dyDescent="0.4">
      <c r="A17" t="s">
        <v>12</v>
      </c>
      <c r="B17" t="s">
        <v>13</v>
      </c>
      <c r="F17" t="s">
        <v>14</v>
      </c>
    </row>
    <row r="19" spans="1:14" x14ac:dyDescent="0.4">
      <c r="A19" t="s">
        <v>15</v>
      </c>
    </row>
    <row r="20" spans="1:14" x14ac:dyDescent="0.4">
      <c r="B20">
        <v>0</v>
      </c>
      <c r="C20">
        <v>1</v>
      </c>
      <c r="D20">
        <v>2</v>
      </c>
      <c r="E20">
        <v>3</v>
      </c>
      <c r="F20">
        <v>4</v>
      </c>
      <c r="G20">
        <v>5</v>
      </c>
      <c r="H20">
        <v>6</v>
      </c>
      <c r="I20">
        <v>7</v>
      </c>
      <c r="J20">
        <v>8</v>
      </c>
      <c r="K20">
        <v>9</v>
      </c>
      <c r="L20">
        <v>10</v>
      </c>
      <c r="M20">
        <v>11</v>
      </c>
      <c r="N20">
        <v>12</v>
      </c>
    </row>
    <row r="21" spans="1:14" x14ac:dyDescent="0.4">
      <c r="A21">
        <v>0</v>
      </c>
      <c r="B21" t="str">
        <f t="array" ref="B21:N33">Bintree(0,B4,B6,B8,B12,B13,B15)</f>
        <v/>
      </c>
      <c r="C21" t="str">
        <v/>
      </c>
      <c r="D21" t="str">
        <v/>
      </c>
      <c r="E21" t="str">
        <v/>
      </c>
      <c r="F21" t="str">
        <v/>
      </c>
      <c r="G21" t="str">
        <v/>
      </c>
      <c r="H21" t="str">
        <v/>
      </c>
      <c r="I21" t="str">
        <v/>
      </c>
      <c r="J21" t="str">
        <v/>
      </c>
      <c r="K21" t="str">
        <v/>
      </c>
      <c r="L21" t="str">
        <v/>
      </c>
      <c r="M21" t="str">
        <v/>
      </c>
      <c r="N21">
        <v>59.383576883052307</v>
      </c>
    </row>
    <row r="22" spans="1:14" x14ac:dyDescent="0.4">
      <c r="A22">
        <v>1</v>
      </c>
      <c r="B22" t="str">
        <v/>
      </c>
      <c r="C22" t="str">
        <v/>
      </c>
      <c r="D22" t="str">
        <v/>
      </c>
      <c r="E22" t="str">
        <v/>
      </c>
      <c r="F22" t="str">
        <v/>
      </c>
      <c r="G22" t="str">
        <v/>
      </c>
      <c r="H22" t="str">
        <v/>
      </c>
      <c r="I22" t="str">
        <v/>
      </c>
      <c r="J22" t="str">
        <v/>
      </c>
      <c r="K22" t="str">
        <v/>
      </c>
      <c r="L22" t="str">
        <v/>
      </c>
      <c r="M22">
        <v>56.098889151079625</v>
      </c>
      <c r="N22">
        <v>52.907634655013041</v>
      </c>
    </row>
    <row r="23" spans="1:14" x14ac:dyDescent="0.4">
      <c r="A23">
        <v>2</v>
      </c>
      <c r="B23" t="str">
        <v/>
      </c>
      <c r="C23" t="str">
        <v/>
      </c>
      <c r="D23" t="str">
        <v/>
      </c>
      <c r="E23" t="str">
        <v/>
      </c>
      <c r="F23" t="str">
        <v/>
      </c>
      <c r="G23" t="str">
        <v/>
      </c>
      <c r="H23" t="str">
        <v/>
      </c>
      <c r="I23" t="str">
        <v/>
      </c>
      <c r="J23" t="str">
        <v/>
      </c>
      <c r="K23" t="str">
        <v/>
      </c>
      <c r="L23">
        <v>52.995887569771455</v>
      </c>
      <c r="M23">
        <v>49.98115114558653</v>
      </c>
      <c r="N23">
        <v>47.137911720962975</v>
      </c>
    </row>
    <row r="24" spans="1:14" x14ac:dyDescent="0.4">
      <c r="A24">
        <v>3</v>
      </c>
      <c r="B24" t="str">
        <v/>
      </c>
      <c r="C24" t="str">
        <v/>
      </c>
      <c r="D24" t="str">
        <v/>
      </c>
      <c r="E24" t="str">
        <v/>
      </c>
      <c r="F24" t="str">
        <v/>
      </c>
      <c r="G24" t="str">
        <v/>
      </c>
      <c r="H24" t="str">
        <v/>
      </c>
      <c r="I24" t="str">
        <v/>
      </c>
      <c r="J24" t="str">
        <v/>
      </c>
      <c r="K24">
        <v>50.064522521009771</v>
      </c>
      <c r="L24">
        <v>47.216540412873421</v>
      </c>
      <c r="M24">
        <v>44.530569279372074</v>
      </c>
      <c r="N24">
        <v>41.997392926405631</v>
      </c>
    </row>
    <row r="25" spans="1:14" x14ac:dyDescent="0.4">
      <c r="A25">
        <v>4</v>
      </c>
      <c r="B25" t="str">
        <v/>
      </c>
      <c r="C25" t="str">
        <v/>
      </c>
      <c r="D25" t="str">
        <v/>
      </c>
      <c r="E25" t="str">
        <v/>
      </c>
      <c r="F25" t="str">
        <v/>
      </c>
      <c r="G25" t="str">
        <v/>
      </c>
      <c r="H25" t="str">
        <v/>
      </c>
      <c r="I25" t="str">
        <v/>
      </c>
      <c r="J25">
        <v>47.295300261870935</v>
      </c>
      <c r="K25">
        <v>44.604848777224916</v>
      </c>
      <c r="L25">
        <v>42.067446943414282</v>
      </c>
      <c r="M25">
        <v>39.674388342295266</v>
      </c>
      <c r="N25">
        <v>37.417461831057842</v>
      </c>
    </row>
    <row r="26" spans="1:14" x14ac:dyDescent="0.4">
      <c r="A26">
        <v>5</v>
      </c>
      <c r="B26" t="str">
        <v/>
      </c>
      <c r="C26" t="str">
        <v/>
      </c>
      <c r="D26" t="str">
        <v/>
      </c>
      <c r="E26" t="str">
        <v/>
      </c>
      <c r="F26" t="str">
        <v/>
      </c>
      <c r="G26" t="str">
        <v/>
      </c>
      <c r="H26" t="str">
        <v/>
      </c>
      <c r="I26">
        <v>44.67925217746415</v>
      </c>
      <c r="J26">
        <v>42.137617814469266</v>
      </c>
      <c r="K26">
        <v>39.74056745680862</v>
      </c>
      <c r="L26">
        <v>37.479876265023464</v>
      </c>
      <c r="M26">
        <v>35.347787279791334</v>
      </c>
      <c r="N26">
        <v>33.336984805987477</v>
      </c>
    </row>
    <row r="27" spans="1:14" x14ac:dyDescent="0.4">
      <c r="A27">
        <v>6</v>
      </c>
      <c r="B27" t="str">
        <v/>
      </c>
      <c r="C27" t="str">
        <v/>
      </c>
      <c r="D27" t="str">
        <v/>
      </c>
      <c r="E27" t="str">
        <v/>
      </c>
      <c r="F27" t="str">
        <v/>
      </c>
      <c r="G27" t="str">
        <v/>
      </c>
      <c r="H27">
        <v>42.207905734489714</v>
      </c>
      <c r="I27">
        <v>39.806856961812677</v>
      </c>
      <c r="J27">
        <v>37.542394809780575</v>
      </c>
      <c r="K27">
        <v>35.406749380025872</v>
      </c>
      <c r="L27">
        <v>33.392592774432273</v>
      </c>
      <c r="M27">
        <v>31.49301395140532</v>
      </c>
      <c r="N27">
        <v>29.701495012475036</v>
      </c>
    </row>
    <row r="28" spans="1:14" x14ac:dyDescent="0.4">
      <c r="A28">
        <v>7</v>
      </c>
      <c r="B28" t="str">
        <v/>
      </c>
      <c r="C28" t="str">
        <v/>
      </c>
      <c r="D28" t="str">
        <v/>
      </c>
      <c r="E28" t="str">
        <v/>
      </c>
      <c r="F28" t="str">
        <v/>
      </c>
      <c r="G28">
        <v>39.873257041445008</v>
      </c>
      <c r="H28">
        <v>37.605017638991868</v>
      </c>
      <c r="I28">
        <v>35.465809832364805</v>
      </c>
      <c r="J28">
        <v>33.448293500100704</v>
      </c>
      <c r="K28">
        <v>31.545546072598448</v>
      </c>
      <c r="L28">
        <v>29.751038779166276</v>
      </c>
      <c r="M28">
        <v>28.058614246285156</v>
      </c>
      <c r="N28">
        <v>26.462465370222571</v>
      </c>
    </row>
    <row r="29" spans="1:14" x14ac:dyDescent="0.4">
      <c r="A29">
        <v>8</v>
      </c>
      <c r="B29" t="str">
        <v/>
      </c>
      <c r="C29" t="str">
        <v/>
      </c>
      <c r="D29" t="str">
        <v/>
      </c>
      <c r="E29" t="str">
        <v/>
      </c>
      <c r="F29">
        <v>37.667744926609664</v>
      </c>
      <c r="G29">
        <v>35.524968800864954</v>
      </c>
      <c r="H29">
        <v>33.504087137717022</v>
      </c>
      <c r="I29">
        <v>31.59816582032872</v>
      </c>
      <c r="J29">
        <v>29.800665187651028</v>
      </c>
      <c r="K29">
        <v>28.10541759531905</v>
      </c>
      <c r="L29">
        <v>26.506606253024145</v>
      </c>
      <c r="M29">
        <v>24.998745265748216</v>
      </c>
      <c r="N29">
        <v>23.576660810377021</v>
      </c>
    </row>
    <row r="30" spans="1:14" x14ac:dyDescent="0.4">
      <c r="A30">
        <v>9</v>
      </c>
      <c r="B30" t="str">
        <v/>
      </c>
      <c r="C30" t="str">
        <v/>
      </c>
      <c r="D30" t="str">
        <v/>
      </c>
      <c r="E30">
        <v>35.584226449856843</v>
      </c>
      <c r="F30">
        <v>33.559973842263602</v>
      </c>
      <c r="G30">
        <v>31.65087334076215</v>
      </c>
      <c r="H30">
        <v>29.850374375780465</v>
      </c>
      <c r="I30">
        <v>28.152299014975451</v>
      </c>
      <c r="J30">
        <v>26.550820765304582</v>
      </c>
      <c r="K30">
        <v>25.040444580967865</v>
      </c>
      <c r="L30">
        <v>23.615988008622672</v>
      </c>
      <c r="M30">
        <v>22.272563405176292</v>
      </c>
      <c r="N30">
        <v>21.005561167141263</v>
      </c>
    </row>
    <row r="31" spans="1:14" x14ac:dyDescent="0.4">
      <c r="A31">
        <v>10</v>
      </c>
      <c r="B31" t="str">
        <v/>
      </c>
      <c r="C31" t="str">
        <v/>
      </c>
      <c r="D31">
        <v>33.615953768981328</v>
      </c>
      <c r="E31">
        <v>31.703668780308544</v>
      </c>
      <c r="F31">
        <v>29.900166481635697</v>
      </c>
      <c r="G31">
        <v>28.19925863548055</v>
      </c>
      <c r="H31">
        <v>26.595109029881993</v>
      </c>
      <c r="I31">
        <v>25.082213452994115</v>
      </c>
      <c r="J31">
        <v>23.6553808068502</v>
      </c>
      <c r="K31">
        <v>22.309715295493547</v>
      </c>
      <c r="L31">
        <v>21.040599626358429</v>
      </c>
      <c r="M31">
        <v>19.843679167261229</v>
      </c>
      <c r="N31">
        <v>18.714847004640653</v>
      </c>
    </row>
    <row r="32" spans="1:14" x14ac:dyDescent="0.4">
      <c r="A32">
        <v>11</v>
      </c>
      <c r="B32" t="str">
        <v/>
      </c>
      <c r="C32">
        <v>31.756552285621936</v>
      </c>
      <c r="D32">
        <v>29.950041643528159</v>
      </c>
      <c r="E32">
        <v>28.246296587277769</v>
      </c>
      <c r="F32">
        <v>26.639471169779362</v>
      </c>
      <c r="G32">
        <v>25.124051997851634</v>
      </c>
      <c r="H32">
        <v>23.69483931448406</v>
      </c>
      <c r="I32">
        <v>22.346929157256515</v>
      </c>
      <c r="J32">
        <v>21.07569653169919</v>
      </c>
      <c r="K32">
        <v>19.876779541856699</v>
      </c>
      <c r="L32">
        <v>18.746064423604601</v>
      </c>
      <c r="M32">
        <v>17.679671429364166</v>
      </c>
      <c r="N32">
        <v>16.67394151578258</v>
      </c>
    </row>
    <row r="33" spans="1:14" x14ac:dyDescent="0.4">
      <c r="A33">
        <v>12</v>
      </c>
      <c r="B33">
        <v>30</v>
      </c>
      <c r="C33">
        <v>28.293413001028114</v>
      </c>
      <c r="D33">
        <v>26.683907308224892</v>
      </c>
      <c r="E33">
        <v>25.165960331758644</v>
      </c>
      <c r="F33">
        <v>23.73436364113126</v>
      </c>
      <c r="G33">
        <v>22.384205093837071</v>
      </c>
      <c r="H33">
        <v>21.110851980654985</v>
      </c>
      <c r="I33">
        <v>19.909935129741463</v>
      </c>
      <c r="J33">
        <v>18.777333914981782</v>
      </c>
      <c r="K33">
        <v>17.709162117159725</v>
      </c>
      <c r="L33">
        <v>16.701754589432053</v>
      </c>
      <c r="M33">
        <v>15.751654681353928</v>
      </c>
      <c r="N33">
        <v>14.855602378304154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3</vt:i4>
      </vt:variant>
    </vt:vector>
  </HeadingPairs>
  <TitlesOfParts>
    <vt:vector size="7" baseType="lpstr">
      <vt:lpstr>Home</vt:lpstr>
      <vt:lpstr>Simplified</vt:lpstr>
      <vt:lpstr>Simplified_Sub</vt:lpstr>
      <vt:lpstr>工作表1</vt:lpstr>
      <vt:lpstr>n</vt:lpstr>
      <vt:lpstr>p0</vt:lpstr>
      <vt:lpstr>u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2017-03-18T14:52:41Z</dcterms:created>
  <dcterms:modified xsi:type="dcterms:W3CDTF">2017-03-27T05:06:41Z</dcterms:modified>
</cp:coreProperties>
</file>